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Graphics (Probes)" sheetId="2" r:id="rId6"/>
    <sheet state="visible" name="Graphics (Indexing)" sheetId="3" r:id="rId7"/>
    <sheet state="visible" name="Graphics (Total)" sheetId="4" r:id="rId8"/>
  </sheets>
  <definedNames/>
  <calcPr/>
</workbook>
</file>

<file path=xl/sharedStrings.xml><?xml version="1.0" encoding="utf-8"?>
<sst xmlns="http://schemas.openxmlformats.org/spreadsheetml/2006/main" count="1066" uniqueCount="718">
  <si>
    <t>Column 15</t>
  </si>
  <si>
    <t>id</t>
  </si>
  <si>
    <t>Active Probes</t>
  </si>
  <si>
    <t>PCAP</t>
  </si>
  <si>
    <t>T0 - tcpreplay (UTC)</t>
  </si>
  <si>
    <t>T1 - S0</t>
  </si>
  <si>
    <t>T1 - S1</t>
  </si>
  <si>
    <t>T1 -S2</t>
  </si>
  <si>
    <t>T1 - S3</t>
  </si>
  <si>
    <t>T1 - S4</t>
  </si>
  <si>
    <t>T2 - S0</t>
  </si>
  <si>
    <t>T2 - S1</t>
  </si>
  <si>
    <t>T2 - S2</t>
  </si>
  <si>
    <t>T2 - S3</t>
  </si>
  <si>
    <t>T2 - S4</t>
  </si>
  <si>
    <t>smallFlows.pcap</t>
  </si>
  <si>
    <t>2025-09-13T21:27:44.560836</t>
  </si>
  <si>
    <t>2025-09-13T21:27:44.643084</t>
  </si>
  <si>
    <t>2025-09-13T21:27:44.733620</t>
  </si>
  <si>
    <t>2025-09-13T21:27:44.733560</t>
  </si>
  <si>
    <t>2025-09-13T21:27:44.687941</t>
  </si>
  <si>
    <t>2025-09-13T21:27:45.691382</t>
  </si>
  <si>
    <t>2025-09-13T21:27:45.690538</t>
  </si>
  <si>
    <t>2025-09-13T21:27:45.691003</t>
  </si>
  <si>
    <t>2025-09-13T21:27:45.690719</t>
  </si>
  <si>
    <t>2025-09-13T21:27:45.690931</t>
  </si>
  <si>
    <t>Probe Latency - S0</t>
  </si>
  <si>
    <t>Probe Latency - S1</t>
  </si>
  <si>
    <t>Probe Latency - S2</t>
  </si>
  <si>
    <t>Probe Latency - S3</t>
  </si>
  <si>
    <t>Probe Latency - S4</t>
  </si>
  <si>
    <t>Indexing Latency - S0</t>
  </si>
  <si>
    <t>Indexing Latency - S1</t>
  </si>
  <si>
    <t>Indexing Latency - S2</t>
  </si>
  <si>
    <t>Indexing Latency - S3</t>
  </si>
  <si>
    <t>Indexing Latency - S4</t>
  </si>
  <si>
    <t>Total Latency - S0</t>
  </si>
  <si>
    <t>Total Latency - S1</t>
  </si>
  <si>
    <t>Total Latency - S2</t>
  </si>
  <si>
    <t>Total Latency - S3</t>
  </si>
  <si>
    <t>Total Latency - S4</t>
  </si>
  <si>
    <t>bigFlows.pcap</t>
  </si>
  <si>
    <t>2025-09-13T21:28:02.082090</t>
  </si>
  <si>
    <t>2025-09-13T21:28:02.179917</t>
  </si>
  <si>
    <t>2025-09-13T21:28:02.179848</t>
  </si>
  <si>
    <t>2025-09-13T21:28:02.180803</t>
  </si>
  <si>
    <t>2025-09-13T21:28:02.180008</t>
  </si>
  <si>
    <t>2025-09-13T21:28:02.333840</t>
  </si>
  <si>
    <t>2025-09-13T21:28:13.380871</t>
  </si>
  <si>
    <t>2025-09-13T21:28:13.865619</t>
  </si>
  <si>
    <t>2025-09-13T21:28:13.859802</t>
  </si>
  <si>
    <t>2025-09-13T21:28:12.897456</t>
  </si>
  <si>
    <t>2025-09-13T21:28:13.499483</t>
  </si>
  <si>
    <t>0.082248</t>
  </si>
  <si>
    <t>0.172784</t>
  </si>
  <si>
    <t>0.172724</t>
  </si>
  <si>
    <t>0.127105</t>
  </si>
  <si>
    <t>1.048298</t>
  </si>
  <si>
    <t>0.956918</t>
  </si>
  <si>
    <t>0.957443</t>
  </si>
  <si>
    <t>0.957159</t>
  </si>
  <si>
    <t>1.002990</t>
  </si>
  <si>
    <t>1.129702</t>
  </si>
  <si>
    <t>1.130167</t>
  </si>
  <si>
    <t>1.129883</t>
  </si>
  <si>
    <t>2025-09-13T21:32:56.686425</t>
  </si>
  <si>
    <t>2025-09-13T21:32:56.795412</t>
  </si>
  <si>
    <t>2025-09-13T21:32:56.800247</t>
  </si>
  <si>
    <t>2025-09-13T21:32:56.690631</t>
  </si>
  <si>
    <t>2025-09-13T21:34:38.235887</t>
  </si>
  <si>
    <t>2025-09-13T21:34:38.242110</t>
  </si>
  <si>
    <t>2025-09-13T21:34:38.231427</t>
  </si>
  <si>
    <t>2025-09-13T21:34:38.231717</t>
  </si>
  <si>
    <t>2025-09-13T21:34:37.959076</t>
  </si>
  <si>
    <t>0.097827</t>
  </si>
  <si>
    <t>0.097758</t>
  </si>
  <si>
    <t>0.098713</t>
  </si>
  <si>
    <t>0.097918</t>
  </si>
  <si>
    <t>0.251750</t>
  </si>
  <si>
    <t>11.200954</t>
  </si>
  <si>
    <t>11.685771</t>
  </si>
  <si>
    <t>11.678999</t>
  </si>
  <si>
    <t>10.717448</t>
  </si>
  <si>
    <t>11.165643</t>
  </si>
  <si>
    <t>11.783529</t>
  </si>
  <si>
    <t>11.777712</t>
  </si>
  <si>
    <t>10.815366</t>
  </si>
  <si>
    <t>2025-09-13T21:33:14.266572</t>
  </si>
  <si>
    <t>2025-09-13T21:33:14.372296</t>
  </si>
  <si>
    <t>2025-09-13T21:35:13.569358</t>
  </si>
  <si>
    <t>2025-09-13T21:35:13.152782</t>
  </si>
  <si>
    <t>2025-09-13T21:35:13.930672</t>
  </si>
  <si>
    <t>2025-09-13T21:35:13.797766</t>
  </si>
  <si>
    <t>2025-09-13T21:35:13.159754</t>
  </si>
  <si>
    <t>0.108987</t>
  </si>
  <si>
    <t>0.113822</t>
  </si>
  <si>
    <t>0.004206</t>
  </si>
  <si>
    <t>101.440475</t>
  </si>
  <si>
    <t>101.446698</t>
  </si>
  <si>
    <t>101.431180</t>
  </si>
  <si>
    <t>101.436305</t>
  </si>
  <si>
    <t>101.268445</t>
  </si>
  <si>
    <t>101.555685</t>
  </si>
  <si>
    <t>101.545002</t>
  </si>
  <si>
    <t>101.545292</t>
  </si>
  <si>
    <t>2025-09-13T21:33:31.772883</t>
  </si>
  <si>
    <t>2025-09-13T21:33:31.896143</t>
  </si>
  <si>
    <t>2025-09-13T21:33:32.034847</t>
  </si>
  <si>
    <t>2025-09-13T21:33:31.933892</t>
  </si>
  <si>
    <t>2025-09-13T21:35:31.777655</t>
  </si>
  <si>
    <t>2025-09-13T21:35:31.785675</t>
  </si>
  <si>
    <t>2025-09-13T21:35:31.500719</t>
  </si>
  <si>
    <t>2025-09-13T21:35:31.505280</t>
  </si>
  <si>
    <t>2025-09-13T21:35:31.907613</t>
  </si>
  <si>
    <t>0.105724</t>
  </si>
  <si>
    <t>119.197062</t>
  </si>
  <si>
    <t>118.780486</t>
  </si>
  <si>
    <t>119.558376</t>
  </si>
  <si>
    <t>119.425470</t>
  </si>
  <si>
    <t>118.787458</t>
  </si>
  <si>
    <t>118.886210</t>
  </si>
  <si>
    <t>119.664100</t>
  </si>
  <si>
    <t>119.531194</t>
  </si>
  <si>
    <t>2025-09-13T21:38:26.322689</t>
  </si>
  <si>
    <t>2025-09-13T21:38:26.464053</t>
  </si>
  <si>
    <t>2025-09-13T21:43:08.762920</t>
  </si>
  <si>
    <t>2025-09-13T21:43:08.718820</t>
  </si>
  <si>
    <t>2025-09-13T21:43:08.894811</t>
  </si>
  <si>
    <t>2025-09-13T21:43:08.762527</t>
  </si>
  <si>
    <t>2025-09-13T21:43:08.726153</t>
  </si>
  <si>
    <t>0.123260</t>
  </si>
  <si>
    <t>0.261964</t>
  </si>
  <si>
    <t>0.161009</t>
  </si>
  <si>
    <t>119.881512</t>
  </si>
  <si>
    <t>119.750828</t>
  </si>
  <si>
    <t>119.566827</t>
  </si>
  <si>
    <t>119.571388</t>
  </si>
  <si>
    <t>120.011470</t>
  </si>
  <si>
    <t>120.012792</t>
  </si>
  <si>
    <t>119.727836</t>
  </si>
  <si>
    <t>119.732397</t>
  </si>
  <si>
    <t>2025-09-13T21:43:20.919646</t>
  </si>
  <si>
    <t>2025-09-13T21:43:21.048574</t>
  </si>
  <si>
    <t>2025-09-13T21:43:20.973869</t>
  </si>
  <si>
    <t>2025-09-13T21:43:20.962895</t>
  </si>
  <si>
    <t>2025-09-13T21:50:01.021273</t>
  </si>
  <si>
    <t>2025-09-13T21:50:01.577708</t>
  </si>
  <si>
    <t>2025-09-13T21:50:00.059912</t>
  </si>
  <si>
    <t>2025-09-13T21:49:59.857918</t>
  </si>
  <si>
    <t>2025-09-13T21:50:01.579871</t>
  </si>
  <si>
    <t>0.141364</t>
  </si>
  <si>
    <t>282.298867</t>
  </si>
  <si>
    <t>282.254767</t>
  </si>
  <si>
    <t>282.430758</t>
  </si>
  <si>
    <t>282.298474</t>
  </si>
  <si>
    <t>282.262100</t>
  </si>
  <si>
    <t>282.396131</t>
  </si>
  <si>
    <t>282.572122</t>
  </si>
  <si>
    <t>282.439838</t>
  </si>
  <si>
    <t>2025-09-13T21:48:15.425247</t>
  </si>
  <si>
    <t>2025-09-13T21:48:15.548089</t>
  </si>
  <si>
    <t>2025-09-13T21:48:15.507305</t>
  </si>
  <si>
    <t>2025-09-13T21:48:15.564568</t>
  </si>
  <si>
    <t>2025-09-13T21:48:15.534610</t>
  </si>
  <si>
    <t>2025-09-13T21:57:36.141170</t>
  </si>
  <si>
    <t>2025-09-13T21:57:36.138682</t>
  </si>
  <si>
    <t>2025-09-13T21:57:36.015409</t>
  </si>
  <si>
    <t>2025-09-13T21:57:36.141728</t>
  </si>
  <si>
    <t>2025-09-13T21:57:36.141507</t>
  </si>
  <si>
    <t>0.128928</t>
  </si>
  <si>
    <t>0.054223</t>
  </si>
  <si>
    <t>0.043249</t>
  </si>
  <si>
    <t>399.972699</t>
  </si>
  <si>
    <t>400.529134</t>
  </si>
  <si>
    <t>399.086043</t>
  </si>
  <si>
    <t>398.895023</t>
  </si>
  <si>
    <t>400.531297</t>
  </si>
  <si>
    <t>400.658062</t>
  </si>
  <si>
    <t>399.140266</t>
  </si>
  <si>
    <t>398.938272</t>
  </si>
  <si>
    <t>2025-09-13T23:00:02.771455</t>
  </si>
  <si>
    <t>2025-09-13T23:00:02.874029</t>
  </si>
  <si>
    <t>2025-09-13T23:00:02.875886</t>
  </si>
  <si>
    <t>2025-09-13T23:00:02.979605</t>
  </si>
  <si>
    <t>2025-09-13T23:00:08.695782</t>
  </si>
  <si>
    <t>2025-09-13T23:00:07.728076</t>
  </si>
  <si>
    <t>2025-09-13T23:00:07.912311</t>
  </si>
  <si>
    <t>2025-09-13T23:00:08.695357</t>
  </si>
  <si>
    <t>2025-09-13T23:00:07.728047</t>
  </si>
  <si>
    <t>0.122842</t>
  </si>
  <si>
    <t>0.082058</t>
  </si>
  <si>
    <t>0.139321</t>
  </si>
  <si>
    <t>0.109363</t>
  </si>
  <si>
    <t>560.593081</t>
  </si>
  <si>
    <t>560.590593</t>
  </si>
  <si>
    <t>560.508104</t>
  </si>
  <si>
    <t>560.577160</t>
  </si>
  <si>
    <t>560.606897</t>
  </si>
  <si>
    <t>560.713435</t>
  </si>
  <si>
    <t>560.590162</t>
  </si>
  <si>
    <t>560.716481</t>
  </si>
  <si>
    <t>2025-09-13T23:00:20.309910</t>
  </si>
  <si>
    <t>2025-09-13T23:00:20.397791</t>
  </si>
  <si>
    <t>2025-09-13T23:00:20.359894</t>
  </si>
  <si>
    <t>2025-09-13T23:00:33.741928</t>
  </si>
  <si>
    <t>2025-09-13T23:00:34.027891</t>
  </si>
  <si>
    <t>2025-09-13T23:00:33.566309</t>
  </si>
  <si>
    <t>2025-09-13T23:00:33.812906</t>
  </si>
  <si>
    <t>2025-09-13T23:00:33.111631</t>
  </si>
  <si>
    <t>0.102574</t>
  </si>
  <si>
    <t>0.104431</t>
  </si>
  <si>
    <t>0.208150</t>
  </si>
  <si>
    <t>5.821753</t>
  </si>
  <si>
    <t>4.852190</t>
  </si>
  <si>
    <t>5.036425</t>
  </si>
  <si>
    <t>5.715752</t>
  </si>
  <si>
    <t>4.852161</t>
  </si>
  <si>
    <t>4.956621</t>
  </si>
  <si>
    <t>5.140856</t>
  </si>
  <si>
    <t>5.923902</t>
  </si>
  <si>
    <t>2025-09-13T23:00:37.808419</t>
  </si>
  <si>
    <t>2025-09-13T23:00:37.890191</t>
  </si>
  <si>
    <t>2025-09-13T23:00:37.866768</t>
  </si>
  <si>
    <t>2025-09-13T23:00:51.388431</t>
  </si>
  <si>
    <t>2025-09-13T23:00:50.915800</t>
  </si>
  <si>
    <t>2025-09-13T23:00:50.916043</t>
  </si>
  <si>
    <t>2025-09-13T23:00:51.379386</t>
  </si>
  <si>
    <t>2025-09-13T23:00:50.916239</t>
  </si>
  <si>
    <t>0.087881</t>
  </si>
  <si>
    <t>0.049984</t>
  </si>
  <si>
    <t>13.344137</t>
  </si>
  <si>
    <t>13.630100</t>
  </si>
  <si>
    <t>13.168518</t>
  </si>
  <si>
    <t>13.415115</t>
  </si>
  <si>
    <t>12.751737</t>
  </si>
  <si>
    <t>13.717981</t>
  </si>
  <si>
    <t>13.256399</t>
  </si>
  <si>
    <t>13.502996</t>
  </si>
  <si>
    <t>2025-09-13T23:00:55.327343</t>
  </si>
  <si>
    <t>2025-09-13T23:00:55.479414</t>
  </si>
  <si>
    <t>2025-09-13T23:00:55.429895</t>
  </si>
  <si>
    <t>2025-09-13T23:00:55.379766</t>
  </si>
  <si>
    <t>2025-09-13T23:01:07.789908</t>
  </si>
  <si>
    <t>2025-09-13T23:01:07.116328</t>
  </si>
  <si>
    <t>2025-09-13T23:01:07.567556</t>
  </si>
  <si>
    <t>2025-09-13T23:01:07.547635</t>
  </si>
  <si>
    <t>2025-09-13T23:01:07.129567</t>
  </si>
  <si>
    <t>0.081772</t>
  </si>
  <si>
    <t>0.058349</t>
  </si>
  <si>
    <t>13.498240</t>
  </si>
  <si>
    <t>13.025609</t>
  </si>
  <si>
    <t>13.049275</t>
  </si>
  <si>
    <t>13.489195</t>
  </si>
  <si>
    <t>13.026048</t>
  </si>
  <si>
    <t>13.107381</t>
  </si>
  <si>
    <t>13.107624</t>
  </si>
  <si>
    <t>13.570967</t>
  </si>
  <si>
    <t>2025-09-13T23:05:49.878720</t>
  </si>
  <si>
    <t>2025-09-13T23:05:50.004838</t>
  </si>
  <si>
    <t>2025-09-13T23:09:18.292037</t>
  </si>
  <si>
    <t>2025-09-13T23:09:18.412725</t>
  </si>
  <si>
    <t>2025-09-13T23:09:18.636022</t>
  </si>
  <si>
    <t>2025-09-13T23:09:19.571960</t>
  </si>
  <si>
    <t>2025-09-13T23:09:18.286696</t>
  </si>
  <si>
    <t>0.152071</t>
  </si>
  <si>
    <t>0.102552</t>
  </si>
  <si>
    <t>0.052423</t>
  </si>
  <si>
    <t>12.310494</t>
  </si>
  <si>
    <t>11.686433</t>
  </si>
  <si>
    <t>12.088142</t>
  </si>
  <si>
    <t>12.068221</t>
  </si>
  <si>
    <t>11.749801</t>
  </si>
  <si>
    <t>11.788985</t>
  </si>
  <si>
    <t>12.240213</t>
  </si>
  <si>
    <t>12.220292</t>
  </si>
  <si>
    <t>2025-09-13T23:06:07.417442</t>
  </si>
  <si>
    <t>2025-09-13T23:06:07.529699</t>
  </si>
  <si>
    <t>2025-09-13T23:06:07.500958</t>
  </si>
  <si>
    <t>2025-09-13T23:06:07.500601</t>
  </si>
  <si>
    <t>2025-09-13T23:09:45.783903</t>
  </si>
  <si>
    <t>2025-09-13T23:09:45.611869</t>
  </si>
  <si>
    <t>2025-09-13T23:09:45.555833</t>
  </si>
  <si>
    <t>2025-09-13T23:09:45.784804</t>
  </si>
  <si>
    <t>2025-09-13T23:09:44.827863</t>
  </si>
  <si>
    <t>0.126118</t>
  </si>
  <si>
    <t>208.287199</t>
  </si>
  <si>
    <t>208.407887</t>
  </si>
  <si>
    <t>208.631184</t>
  </si>
  <si>
    <t>209.567122</t>
  </si>
  <si>
    <t>208.281858</t>
  </si>
  <si>
    <t>208.534005</t>
  </si>
  <si>
    <t>208.757302</t>
  </si>
  <si>
    <t>209.693240</t>
  </si>
  <si>
    <t>2025-09-13T23:11:01.990584</t>
  </si>
  <si>
    <t>2025-09-13T23:11:02.125605</t>
  </si>
  <si>
    <t>2025-09-13T23:16:28.387916</t>
  </si>
  <si>
    <t>2025-09-13T23:17:12.511954</t>
  </si>
  <si>
    <t>2025-09-13T23:17:00.317806</t>
  </si>
  <si>
    <t>2025-09-13T23:17:09.150335</t>
  </si>
  <si>
    <t>2025-09-13T23:16:49.256434</t>
  </si>
  <si>
    <t>0.112257</t>
  </si>
  <si>
    <t>0.083516</t>
  </si>
  <si>
    <t>0.083159</t>
  </si>
  <si>
    <t>218.254204</t>
  </si>
  <si>
    <t>218.110911</t>
  </si>
  <si>
    <t>218.026134</t>
  </si>
  <si>
    <t>218.255105</t>
  </si>
  <si>
    <t>217.327262</t>
  </si>
  <si>
    <t>218.194427</t>
  </si>
  <si>
    <t>218.138391</t>
  </si>
  <si>
    <t>218.367362</t>
  </si>
  <si>
    <t>2025-09-13T23:11:19.537679</t>
  </si>
  <si>
    <t>2025-09-13T23:11:19.610222</t>
  </si>
  <si>
    <t>2025-09-13T23:11:19.609569</t>
  </si>
  <si>
    <t>2025-09-13T23:11:19.571041</t>
  </si>
  <si>
    <t>2025-09-13T23:11:19.585228</t>
  </si>
  <si>
    <t>2025-09-13T23:16:57.899942</t>
  </si>
  <si>
    <t>2025-09-13T23:17:44.159263</t>
  </si>
  <si>
    <t>2025-09-13T23:17:09.647850</t>
  </si>
  <si>
    <t>2025-09-13T23:17:37.013341</t>
  </si>
  <si>
    <t>2025-09-13T23:17:18.733563</t>
  </si>
  <si>
    <t>0.135021</t>
  </si>
  <si>
    <t>326.262311</t>
  </si>
  <si>
    <t>370.386349</t>
  </si>
  <si>
    <t>358.192201</t>
  </si>
  <si>
    <t>367.024730</t>
  </si>
  <si>
    <t>347.130829</t>
  </si>
  <si>
    <t>370.521370</t>
  </si>
  <si>
    <t>358.327222</t>
  </si>
  <si>
    <t>367.159751</t>
  </si>
  <si>
    <t>2025-09-13T23:11:37.016675</t>
  </si>
  <si>
    <t>2025-09-13T23:11:37.279807</t>
  </si>
  <si>
    <t>2025-09-13T23:11:37.157406</t>
  </si>
  <si>
    <t>2025-09-13T23:11:37.179009</t>
  </si>
  <si>
    <t>2025-09-13T23:17:26.234754</t>
  </si>
  <si>
    <t>2025-09-13T23:18:01.544466</t>
  </si>
  <si>
    <t>2025-09-13T23:17:14.535906</t>
  </si>
  <si>
    <t>2025-09-13T23:17:46.608836</t>
  </si>
  <si>
    <t>2025-09-13T23:17:33.902747</t>
  </si>
  <si>
    <t>0.072543</t>
  </si>
  <si>
    <t>0.071890</t>
  </si>
  <si>
    <t>0.033362</t>
  </si>
  <si>
    <t>0.047549</t>
  </si>
  <si>
    <t>338.289720</t>
  </si>
  <si>
    <t>384.549694</t>
  </si>
  <si>
    <t>350.076809</t>
  </si>
  <si>
    <t>377.403772</t>
  </si>
  <si>
    <t>359.148335</t>
  </si>
  <si>
    <t>384.621584</t>
  </si>
  <si>
    <t>350.110171</t>
  </si>
  <si>
    <t>377.475662</t>
  </si>
  <si>
    <t>2025-09-13T23:16:31.626603</t>
  </si>
  <si>
    <t>2025-09-13T23:16:31.636467</t>
  </si>
  <si>
    <t>2025-09-13T23:16:31.639789</t>
  </si>
  <si>
    <t>2025-09-13T23:16:31.640880</t>
  </si>
  <si>
    <t>2025-09-13T23:16:31.640908</t>
  </si>
  <si>
    <t>2025-09-13T23:16:31.630085</t>
  </si>
  <si>
    <t>2025-09-13T23:24:06.412766</t>
  </si>
  <si>
    <t>2025-09-13T23:24:06.412796</t>
  </si>
  <si>
    <t>2025-09-13T23:24:06.412751</t>
  </si>
  <si>
    <t>2025-09-13T23:24:06.412917</t>
  </si>
  <si>
    <t>2025-09-13T23:24:06.412781</t>
  </si>
  <si>
    <t>0.263132</t>
  </si>
  <si>
    <t>0.140731</t>
  </si>
  <si>
    <t>0.162334</t>
  </si>
  <si>
    <t>348.954947</t>
  </si>
  <si>
    <t>384.387060</t>
  </si>
  <si>
    <t>337.356897</t>
  </si>
  <si>
    <t>369.429827</t>
  </si>
  <si>
    <t>356.622940</t>
  </si>
  <si>
    <t>384.527791</t>
  </si>
  <si>
    <t>337.519231</t>
  </si>
  <si>
    <t>369.592161</t>
  </si>
  <si>
    <t>2025-09-13T23:16:49.219124</t>
  </si>
  <si>
    <t>2025-09-13T23:16:49.312371</t>
  </si>
  <si>
    <t>2025-09-13T23:24:26.755256</t>
  </si>
  <si>
    <t>2025-09-13T23:24:26.474621</t>
  </si>
  <si>
    <t>2025-09-13T23:24:26.704680</t>
  </si>
  <si>
    <t>2025-09-13T23:24:26.704230</t>
  </si>
  <si>
    <t>2025-09-13T23:24:26.296620</t>
  </si>
  <si>
    <t>0.009864</t>
  </si>
  <si>
    <t>0.013186</t>
  </si>
  <si>
    <t>0.014277</t>
  </si>
  <si>
    <t>0.014305</t>
  </si>
  <si>
    <t>0.003482</t>
  </si>
  <si>
    <t>454.776299</t>
  </si>
  <si>
    <t>454.773007</t>
  </si>
  <si>
    <t>454.771871</t>
  </si>
  <si>
    <t>454.772009</t>
  </si>
  <si>
    <t>454.782696</t>
  </si>
  <si>
    <t>454.786193</t>
  </si>
  <si>
    <t>454.786148</t>
  </si>
  <si>
    <t>454.786314</t>
  </si>
  <si>
    <t>2025-09-13T23:17:06.694238</t>
  </si>
  <si>
    <t>2025-09-13T23:17:06.705992</t>
  </si>
  <si>
    <t>2025-09-13T23:17:06.758894</t>
  </si>
  <si>
    <t>2025-09-13T23:17:06.884741</t>
  </si>
  <si>
    <t>2025-09-13T23:17:06.711226</t>
  </si>
  <si>
    <t>2025-09-13T23:17:06.879068</t>
  </si>
  <si>
    <t>2025-09-13T23:24:41.215350</t>
  </si>
  <si>
    <t>2025-09-13T23:24:41.427531</t>
  </si>
  <si>
    <t>2025-09-13T23:24:41.652826</t>
  </si>
  <si>
    <t>2025-09-13T23:24:41.212234</t>
  </si>
  <si>
    <t>2025-09-13T23:24:41.672143</t>
  </si>
  <si>
    <t>0.093247</t>
  </si>
  <si>
    <t>457.442885</t>
  </si>
  <si>
    <t>457.162250</t>
  </si>
  <si>
    <t>457.392309</t>
  </si>
  <si>
    <t>457.391859</t>
  </si>
  <si>
    <t>456.984249</t>
  </si>
  <si>
    <t>457.255497</t>
  </si>
  <si>
    <t>457.485556</t>
  </si>
  <si>
    <t>457.485106</t>
  </si>
  <si>
    <t>2025-09-13T23:22:01.324234</t>
  </si>
  <si>
    <t>2025-09-13T23:22:01.415253</t>
  </si>
  <si>
    <t>2025-09-13T23:32:08.056721</t>
  </si>
  <si>
    <t>2025-09-13T23:32:07.771904</t>
  </si>
  <si>
    <t>2025-09-13T23:32:07.768266</t>
  </si>
  <si>
    <t>2025-09-13T23:32:07.648939</t>
  </si>
  <si>
    <t>2025-09-13T23:32:07.768905</t>
  </si>
  <si>
    <t>0.011754</t>
  </si>
  <si>
    <t>0.064656</t>
  </si>
  <si>
    <t>0.190503</t>
  </si>
  <si>
    <t>0.016988</t>
  </si>
  <si>
    <t>0.184830</t>
  </si>
  <si>
    <t>454.509358</t>
  </si>
  <si>
    <t>454.668637</t>
  </si>
  <si>
    <t>454.768085</t>
  </si>
  <si>
    <t>454.501008</t>
  </si>
  <si>
    <t>454.793075</t>
  </si>
  <si>
    <t>454.733293</t>
  </si>
  <si>
    <t>454.958588</t>
  </si>
  <si>
    <t>454.517996</t>
  </si>
  <si>
    <t>2025-09-13T23:22:18.811568</t>
  </si>
  <si>
    <t>2025-09-13T23:22:18.933140</t>
  </si>
  <si>
    <t>2025-09-13T23:22:18.920704</t>
  </si>
  <si>
    <t>2025-09-13T23:22:19.002879</t>
  </si>
  <si>
    <t>2025-09-13T23:32:29.754739</t>
  </si>
  <si>
    <t>2025-09-13T23:32:29.483276</t>
  </si>
  <si>
    <t>2025-09-13T23:32:30.294870</t>
  </si>
  <si>
    <t>2025-09-13T23:32:29.854615</t>
  </si>
  <si>
    <t>2025-09-13T23:32:30.227327</t>
  </si>
  <si>
    <t>0.091019</t>
  </si>
  <si>
    <t>606.641468</t>
  </si>
  <si>
    <t>606.356651</t>
  </si>
  <si>
    <t>606.353013</t>
  </si>
  <si>
    <t>606.233686</t>
  </si>
  <si>
    <t>606.353652</t>
  </si>
  <si>
    <t>606.447670</t>
  </si>
  <si>
    <t>606.444032</t>
  </si>
  <si>
    <t>606.324705</t>
  </si>
  <si>
    <t>2025-09-13T23:27:13.365182</t>
  </si>
  <si>
    <t>2025-09-13T23:27:13.479359</t>
  </si>
  <si>
    <t>2025-09-13T23:41:01.791385</t>
  </si>
  <si>
    <t>2025-09-13T23:41:01.169645</t>
  </si>
  <si>
    <t>2025-09-13T23:41:01.176661</t>
  </si>
  <si>
    <t>2025-09-13T23:41:01.790363</t>
  </si>
  <si>
    <t>2025-09-13T23:41:01.177600</t>
  </si>
  <si>
    <t>0.121572</t>
  </si>
  <si>
    <t>0.109136</t>
  </si>
  <si>
    <t>0.191311</t>
  </si>
  <si>
    <t>610.821599</t>
  </si>
  <si>
    <t>610.550136</t>
  </si>
  <si>
    <t>611.374166</t>
  </si>
  <si>
    <t>610.921475</t>
  </si>
  <si>
    <t>611.224448</t>
  </si>
  <si>
    <t>610.671708</t>
  </si>
  <si>
    <t>611.483302</t>
  </si>
  <si>
    <t>611.043047</t>
  </si>
  <si>
    <t>2025-09-13T23:27:30.903888</t>
  </si>
  <si>
    <t>2025-09-13T23:27:31.006417</t>
  </si>
  <si>
    <t>2025-09-13T23:27:31.079299</t>
  </si>
  <si>
    <t>2025-09-13T23:27:31.089690</t>
  </si>
  <si>
    <t>2025-09-13T23:41:27.967653</t>
  </si>
  <si>
    <t>2025-09-13T23:41:27.310921</t>
  </si>
  <si>
    <t>2025-09-13T23:41:27.314901</t>
  </si>
  <si>
    <t>2025-09-13T23:41:28.302435</t>
  </si>
  <si>
    <t>2025-09-13T23:41:28.558804</t>
  </si>
  <si>
    <t>0.114177</t>
  </si>
  <si>
    <t>828.312026</t>
  </si>
  <si>
    <t>827.690286</t>
  </si>
  <si>
    <t>827.697302</t>
  </si>
  <si>
    <t>828.311004</t>
  </si>
  <si>
    <t>827.698241</t>
  </si>
  <si>
    <t>827.804463</t>
  </si>
  <si>
    <t>827.811479</t>
  </si>
  <si>
    <t>828.425181</t>
  </si>
  <si>
    <t>2025-09-13T23:32:25.484094</t>
  </si>
  <si>
    <t>2025-09-13T23:32:25.567526</t>
  </si>
  <si>
    <t>2025-09-13T23:49:24.319536</t>
  </si>
  <si>
    <t>2025-09-13T23:49:24.313014</t>
  </si>
  <si>
    <t>2025-09-13T23:49:24.069743</t>
  </si>
  <si>
    <t>2025-09-13T23:49:24.475948</t>
  </si>
  <si>
    <t>2025-09-13T23:49:24.470430</t>
  </si>
  <si>
    <t>0.102529</t>
  </si>
  <si>
    <t>0.175411</t>
  </si>
  <si>
    <t>0.185802</t>
  </si>
  <si>
    <t>836.961236</t>
  </si>
  <si>
    <t>836.231622</t>
  </si>
  <si>
    <t>836.225211</t>
  </si>
  <si>
    <t>837.212745</t>
  </si>
  <si>
    <t>837.479505</t>
  </si>
  <si>
    <t>836.407033</t>
  </si>
  <si>
    <t>836.411013</t>
  </si>
  <si>
    <t>837.398547</t>
  </si>
  <si>
    <t>0.083432</t>
  </si>
  <si>
    <t>1018.752010</t>
  </si>
  <si>
    <t>1018.745488</t>
  </si>
  <si>
    <t>1018.502217</t>
  </si>
  <si>
    <t>1018.908422</t>
  </si>
  <si>
    <t>1018.902904</t>
  </si>
  <si>
    <t>1018.828920</t>
  </si>
  <si>
    <t>1018.585649</t>
  </si>
  <si>
    <t>1018.991854</t>
  </si>
  <si>
    <t>Average Latency</t>
  </si>
  <si>
    <t>Min Latency</t>
  </si>
  <si>
    <t>Max Latency</t>
  </si>
  <si>
    <t xml:space="preserve">Standard Deviation </t>
  </si>
  <si>
    <t>Probe CPU - S0</t>
  </si>
  <si>
    <t>Probe CPU - S1</t>
  </si>
  <si>
    <t>Probe CPU  - S2</t>
  </si>
  <si>
    <t>Probe CPU - S3</t>
  </si>
  <si>
    <t>Probe CPU - S4</t>
  </si>
  <si>
    <t>Probe RAM (MiB) - S0</t>
  </si>
  <si>
    <t>Probe RAM (MiB) - S1</t>
  </si>
  <si>
    <t>Probe RAM (MiB) - S2</t>
  </si>
  <si>
    <t>Probe RAM (MiB) - S3</t>
  </si>
  <si>
    <t>Probe RAM (MiB) - S4</t>
  </si>
  <si>
    <t>CPU Kafka (%)</t>
  </si>
  <si>
    <t>Ram Kafka (MiB)</t>
  </si>
  <si>
    <t>CPU Logstash (%)</t>
  </si>
  <si>
    <t>RAM Logstash (MiB)</t>
  </si>
  <si>
    <t>CPU Opensearch Node 1 (%)</t>
  </si>
  <si>
    <t>RAM Opensearch Node 1 (MiB)</t>
  </si>
  <si>
    <t>CPU Opensearch Node 2</t>
  </si>
  <si>
    <t>RAM Opensearch Node 2 (MiB)</t>
  </si>
  <si>
    <t>140m</t>
  </si>
  <si>
    <t>158m</t>
  </si>
  <si>
    <t>106m</t>
  </si>
  <si>
    <t>107m</t>
  </si>
  <si>
    <t>105m</t>
  </si>
  <si>
    <t>525Mi</t>
  </si>
  <si>
    <t>487Mi</t>
  </si>
  <si>
    <t>484Mi</t>
  </si>
  <si>
    <t>477Mi</t>
  </si>
  <si>
    <t>500Mi</t>
  </si>
  <si>
    <t>846.1MiB</t>
  </si>
  <si>
    <t>976.1MiB</t>
  </si>
  <si>
    <t>1.054GiB</t>
  </si>
  <si>
    <t>121m</t>
  </si>
  <si>
    <t>120m</t>
  </si>
  <si>
    <t>126m</t>
  </si>
  <si>
    <t>150m</t>
  </si>
  <si>
    <t>122m</t>
  </si>
  <si>
    <t>526Mi</t>
  </si>
  <si>
    <t>489Mi</t>
  </si>
  <si>
    <t>478Mi</t>
  </si>
  <si>
    <t>502Mi</t>
  </si>
  <si>
    <t>980.7MiB</t>
  </si>
  <si>
    <t>1.052GiB</t>
  </si>
  <si>
    <t>173m</t>
  </si>
  <si>
    <t>169m</t>
  </si>
  <si>
    <t>170m</t>
  </si>
  <si>
    <t>147m</t>
  </si>
  <si>
    <t>532Mi</t>
  </si>
  <si>
    <t>534Mi</t>
  </si>
  <si>
    <t>531Mi</t>
  </si>
  <si>
    <t>524Mi</t>
  </si>
  <si>
    <t>548Mi</t>
  </si>
  <si>
    <t>1.34GiB</t>
  </si>
  <si>
    <t>964.7MiB</t>
  </si>
  <si>
    <t>1.013GiB</t>
  </si>
  <si>
    <t>101m</t>
  </si>
  <si>
    <t>87m</t>
  </si>
  <si>
    <t>118m</t>
  </si>
  <si>
    <t>94m</t>
  </si>
  <si>
    <t>135m</t>
  </si>
  <si>
    <t>530Mi</t>
  </si>
  <si>
    <t>523Mi</t>
  </si>
  <si>
    <t>964.2MiB</t>
  </si>
  <si>
    <t>1.014GiB</t>
  </si>
  <si>
    <t>171m</t>
  </si>
  <si>
    <t>104m</t>
  </si>
  <si>
    <t>116m</t>
  </si>
  <si>
    <t>1.341GiB</t>
  </si>
  <si>
    <t>995.8MiB</t>
  </si>
  <si>
    <t>152m</t>
  </si>
  <si>
    <t>139m</t>
  </si>
  <si>
    <t>129m</t>
  </si>
  <si>
    <t>533Mi</t>
  </si>
  <si>
    <t>535Mi</t>
  </si>
  <si>
    <t>549Mi</t>
  </si>
  <si>
    <t>1.336GiB</t>
  </si>
  <si>
    <t>1.028GiB</t>
  </si>
  <si>
    <t>976MiB</t>
  </si>
  <si>
    <t>141m</t>
  </si>
  <si>
    <t>131m</t>
  </si>
  <si>
    <t>151m</t>
  </si>
  <si>
    <t>156m</t>
  </si>
  <si>
    <t>1.338GiB</t>
  </si>
  <si>
    <t>1003MiB</t>
  </si>
  <si>
    <t>1006MiB</t>
  </si>
  <si>
    <t>153m</t>
  </si>
  <si>
    <t>162m</t>
  </si>
  <si>
    <t>159m</t>
  </si>
  <si>
    <t>520Mi</t>
  </si>
  <si>
    <t>496Mi</t>
  </si>
  <si>
    <t>519Mi</t>
  </si>
  <si>
    <t>1.342GiB</t>
  </si>
  <si>
    <t>1.008GiB</t>
  </si>
  <si>
    <t>1015MiB</t>
  </si>
  <si>
    <t>112m</t>
  </si>
  <si>
    <t>137m</t>
  </si>
  <si>
    <t>103m</t>
  </si>
  <si>
    <t>114m</t>
  </si>
  <si>
    <t>85m</t>
  </si>
  <si>
    <t>521Mi</t>
  </si>
  <si>
    <t>497Mi</t>
  </si>
  <si>
    <t>1.156GiB</t>
  </si>
  <si>
    <t>1.103GiB</t>
  </si>
  <si>
    <t>164m</t>
  </si>
  <si>
    <t>145m</t>
  </si>
  <si>
    <t>133m</t>
  </si>
  <si>
    <t>93m</t>
  </si>
  <si>
    <t>100m</t>
  </si>
  <si>
    <t>1.015GiB</t>
  </si>
  <si>
    <t>167m</t>
  </si>
  <si>
    <t>175m</t>
  </si>
  <si>
    <t>154m</t>
  </si>
  <si>
    <t>149m</t>
  </si>
  <si>
    <t>547Mi</t>
  </si>
  <si>
    <t>1.163GiB</t>
  </si>
  <si>
    <t>1.016GiB</t>
  </si>
  <si>
    <t>172m</t>
  </si>
  <si>
    <t>143m</t>
  </si>
  <si>
    <t>1.172GiB</t>
  </si>
  <si>
    <t>1.019GiB</t>
  </si>
  <si>
    <t>142m</t>
  </si>
  <si>
    <t>568Mi</t>
  </si>
  <si>
    <t>544Mi</t>
  </si>
  <si>
    <t>567Mi</t>
  </si>
  <si>
    <t>965.8MiB</t>
  </si>
  <si>
    <t>1.157GiB</t>
  </si>
  <si>
    <t>1.23GiB</t>
  </si>
  <si>
    <t>124m</t>
  </si>
  <si>
    <t>546Mi</t>
  </si>
  <si>
    <t>545Mi</t>
  </si>
  <si>
    <t>946.8MiB</t>
  </si>
  <si>
    <t>1.203GiB</t>
  </si>
  <si>
    <t xml:space="preserve">1.232GiB </t>
  </si>
  <si>
    <t>111m</t>
  </si>
  <si>
    <t>109m</t>
  </si>
  <si>
    <t>113m</t>
  </si>
  <si>
    <t>543Mi</t>
  </si>
  <si>
    <t>564Mi</t>
  </si>
  <si>
    <t>565Mi</t>
  </si>
  <si>
    <t>566Mi</t>
  </si>
  <si>
    <t>913.1MiB</t>
  </si>
  <si>
    <t>1.231GiB</t>
  </si>
  <si>
    <t>165m</t>
  </si>
  <si>
    <t>177m</t>
  </si>
  <si>
    <t>538Mi</t>
  </si>
  <si>
    <t>559Mi</t>
  </si>
  <si>
    <t>537Mi</t>
  </si>
  <si>
    <t>560Mi</t>
  </si>
  <si>
    <t>558Mi</t>
  </si>
  <si>
    <t>897.1MiB</t>
  </si>
  <si>
    <t>1.061GiB</t>
  </si>
  <si>
    <t>136m</t>
  </si>
  <si>
    <t>134m</t>
  </si>
  <si>
    <t>550Mi</t>
  </si>
  <si>
    <t>556Mi</t>
  </si>
  <si>
    <t>894.7MiB</t>
  </si>
  <si>
    <t>1.228GiB</t>
  </si>
  <si>
    <t>554Mi</t>
  </si>
  <si>
    <t>894.3MiB</t>
  </si>
  <si>
    <t xml:space="preserve"> 1.225GiB</t>
  </si>
  <si>
    <t>183m</t>
  </si>
  <si>
    <t>179m</t>
  </si>
  <si>
    <t>193m</t>
  </si>
  <si>
    <t>877.3MiB</t>
  </si>
  <si>
    <t>1.144GiB</t>
  </si>
  <si>
    <t>1.039GiB</t>
  </si>
  <si>
    <t>75m</t>
  </si>
  <si>
    <t>877.4MiB</t>
  </si>
  <si>
    <t xml:space="preserve">1.145GiB </t>
  </si>
  <si>
    <t>1.04GiB</t>
  </si>
  <si>
    <t>176m</t>
  </si>
  <si>
    <t>178m</t>
  </si>
  <si>
    <t>157m</t>
  </si>
  <si>
    <t>878.5MiB</t>
  </si>
  <si>
    <t xml:space="preserve"> 1.281GiB</t>
  </si>
  <si>
    <t xml:space="preserve">1.06GiB </t>
  </si>
  <si>
    <t>1.147GiB</t>
  </si>
  <si>
    <t>1.035GiB</t>
  </si>
  <si>
    <t>188m</t>
  </si>
  <si>
    <t>168m</t>
  </si>
  <si>
    <t>879.7MiB</t>
  </si>
  <si>
    <t>1.063GiB</t>
  </si>
  <si>
    <t>1.136GiB</t>
  </si>
  <si>
    <t xml:space="preserve">Id </t>
  </si>
  <si>
    <t>Probe</t>
  </si>
  <si>
    <t>Average</t>
  </si>
  <si>
    <t>Min</t>
  </si>
  <si>
    <t>Max</t>
  </si>
  <si>
    <t>Standard Deviation</t>
  </si>
  <si>
    <t>S0</t>
  </si>
  <si>
    <t>S2</t>
  </si>
  <si>
    <t>CPU Mean - Logstash</t>
  </si>
  <si>
    <t>S4</t>
  </si>
  <si>
    <t>1 - 5</t>
  </si>
  <si>
    <t>S3</t>
  </si>
  <si>
    <t>6 - 10</t>
  </si>
  <si>
    <t>S1</t>
  </si>
  <si>
    <t>11 - 15</t>
  </si>
  <si>
    <t>16 - 20</t>
  </si>
  <si>
    <t>21 - 25</t>
  </si>
  <si>
    <t>Indexing Latency  - S0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</si>
</sst>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.###### "/>
    <numFmt numFmtId="165" formatCode="yyyy&quot;-&quot;mm&quot;-&quot;dd&quot;T&quot;hh&quot;:&quot;mm&quot;:&quot;ss&quot;.&quot;00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3.0"/>
      <color theme="1"/>
      <name val="Arial"/>
      <scheme val="minor"/>
    </font>
    <font>
      <b/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49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horizontal="right" readingOrder="0" shrinkToFit="0" vertical="center" wrapText="0"/>
    </xf>
    <xf borderId="0" fillId="0" fontId="2" numFmtId="49" xfId="0" applyAlignment="1" applyFont="1" applyNumberFormat="1">
      <alignment horizontal="right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49" xfId="0" applyAlignment="1" applyFont="1" applyNumberFormat="1">
      <alignment horizontal="right" shrinkToFit="0" vertical="center" wrapText="0"/>
    </xf>
    <xf borderId="1" fillId="0" fontId="2" numFmtId="49" xfId="0" applyAlignment="1" applyBorder="1" applyFont="1" applyNumberFormat="1">
      <alignment horizontal="right" shrinkToFit="0" vertical="center" wrapText="0"/>
    </xf>
    <xf borderId="0" fillId="0" fontId="2" numFmtId="49" xfId="0" applyAlignment="1" applyFont="1" applyNumberFormat="1">
      <alignment horizontal="right" shrinkToFit="0" vertical="center" wrapText="0"/>
    </xf>
    <xf borderId="1" fillId="0" fontId="2" numFmtId="49" xfId="0" applyAlignment="1" applyBorder="1" applyFont="1" applyNumberFormat="1">
      <alignment horizontal="right" shrinkToFit="0" vertical="center" wrapText="0"/>
    </xf>
    <xf borderId="0" fillId="0" fontId="2" numFmtId="164" xfId="0" applyAlignment="1" applyFont="1" applyNumberFormat="1">
      <alignment horizontal="right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right"/>
    </xf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top" wrapText="0"/>
    </xf>
    <xf borderId="0" fillId="0" fontId="1" numFmtId="49" xfId="0" applyAlignment="1" applyFont="1" applyNumberFormat="1">
      <alignment horizontal="right" readingOrder="0" shrinkToFit="0" vertical="top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2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right" readingOrder="0" vertical="top"/>
    </xf>
    <xf borderId="0" fillId="0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right" readingOrder="0"/>
    </xf>
    <xf borderId="0" fillId="0" fontId="2" numFmtId="10" xfId="0" applyFont="1" applyNumberForma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Font="1"/>
    <xf borderId="0" fillId="0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right" shrinkToFit="0" vertical="center" wrapText="0"/>
    </xf>
    <xf borderId="1" fillId="0" fontId="2" numFmtId="0" xfId="0" applyAlignment="1" applyBorder="1" applyFont="1">
      <alignment horizontal="right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right"/>
    </xf>
    <xf borderId="0" fillId="0" fontId="5" numFmtId="0" xfId="0" applyAlignment="1" applyFont="1">
      <alignment horizontal="right" readingOrder="0"/>
    </xf>
    <xf borderId="0" fillId="0" fontId="4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1">
    <tableStyle count="4" pivot="0" name="Resul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lt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lt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lts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lts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lts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lts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lts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lts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lts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lts-style 11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CPU Opensearch Node 1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Results!$AD$36:$AD$60</c:f>
              <c:numCache/>
            </c:numRef>
          </c:val>
          <c:smooth val="0"/>
        </c:ser>
        <c:ser>
          <c:idx val="1"/>
          <c:order val="1"/>
          <c:tx>
            <c:v>Mean CPU Node 1</c:v>
          </c:tx>
          <c:spPr>
            <a:ln cmpd="sng">
              <a:solidFill>
                <a:srgbClr val="EA4335"/>
              </a:solidFill>
              <a:prstDash val="dash"/>
            </a:ln>
          </c:spPr>
          <c:marker>
            <c:symbol val="none"/>
          </c:marker>
          <c:val>
            <c:numRef>
              <c:f>Results!$AG$64:$AG$88</c:f>
              <c:numCache/>
            </c:numRef>
          </c:val>
          <c:smooth val="0"/>
        </c:ser>
        <c:axId val="853133405"/>
        <c:axId val="1807443458"/>
      </c:lineChart>
      <c:catAx>
        <c:axId val="8531334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7443458"/>
      </c:catAx>
      <c:valAx>
        <c:axId val="18074434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31334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CPU Opensearch Node 2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Results!$AF$36:$AF$60</c:f>
              <c:numCache/>
            </c:numRef>
          </c:val>
          <c:smooth val="0"/>
        </c:ser>
        <c:ser>
          <c:idx val="1"/>
          <c:order val="1"/>
          <c:tx>
            <c:v>Mean CPU Node 2</c:v>
          </c:tx>
          <c:spPr>
            <a:ln cmpd="sng">
              <a:solidFill>
                <a:srgbClr val="EA4335"/>
              </a:solidFill>
              <a:prstDash val="dash"/>
            </a:ln>
          </c:spPr>
          <c:marker>
            <c:symbol val="none"/>
          </c:marker>
          <c:val>
            <c:numRef>
              <c:f>Results!$AH$64:$AH$88</c:f>
              <c:numCache/>
            </c:numRef>
          </c:val>
          <c:smooth val="0"/>
        </c:ser>
        <c:axId val="1703218344"/>
        <c:axId val="1628651333"/>
      </c:lineChart>
      <c:catAx>
        <c:axId val="1703218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8651333"/>
      </c:catAx>
      <c:valAx>
        <c:axId val="16286513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32183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Opensearch Node 1 &amp; 2 CPU Mean</c:v>
          </c:tx>
          <c:spPr>
            <a:ln cmpd="sng">
              <a:solidFill>
                <a:srgbClr val="4285F4"/>
              </a:solidFill>
              <a:prstDash val="dash"/>
            </a:ln>
          </c:spPr>
          <c:marker>
            <c:symbol val="none"/>
          </c:marker>
          <c:cat>
            <c:strRef>
              <c:f>Results!$X$36:$X$60</c:f>
            </c:strRef>
          </c:cat>
          <c:val>
            <c:numRef>
              <c:f>Results!$AI$64:$AI$88</c:f>
              <c:numCache/>
            </c:numRef>
          </c:val>
          <c:smooth val="0"/>
        </c:ser>
        <c:ser>
          <c:idx val="1"/>
          <c:order val="1"/>
          <c:tx>
            <c:v>CPU Opensearch Node 1</c:v>
          </c:tx>
          <c:spPr>
            <a:ln cmpd="sng">
              <a:solidFill>
                <a:srgbClr val="EA4335"/>
              </a:solidFill>
              <a:prstDash val="solid"/>
            </a:ln>
          </c:spPr>
          <c:marker>
            <c:symbol val="none"/>
          </c:marker>
          <c:cat>
            <c:strRef>
              <c:f>Results!$X$36:$X$60</c:f>
            </c:strRef>
          </c:cat>
          <c:val>
            <c:numRef>
              <c:f>Results!$AD$36:$AD$60</c:f>
              <c:numCache/>
            </c:numRef>
          </c:val>
          <c:smooth val="0"/>
        </c:ser>
        <c:ser>
          <c:idx val="2"/>
          <c:order val="2"/>
          <c:tx>
            <c:v>CPU Opensearch Node 2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Results!$X$36:$X$60</c:f>
            </c:strRef>
          </c:cat>
          <c:val>
            <c:numRef>
              <c:f>Results!$AF$36:$AF$60</c:f>
              <c:numCache/>
            </c:numRef>
          </c:val>
          <c:smooth val="0"/>
        </c:ser>
        <c:axId val="1067961115"/>
        <c:axId val="1311920430"/>
      </c:lineChart>
      <c:catAx>
        <c:axId val="10679611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3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3000">
                    <a:solidFill>
                      <a:srgbClr val="000000"/>
                    </a:solidFill>
                    <a:latin typeface="+mn-lt"/>
                  </a:rPr>
                  <a:t>Run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3000">
                <a:solidFill>
                  <a:srgbClr val="000000"/>
                </a:solidFill>
                <a:latin typeface="+mn-lt"/>
              </a:defRPr>
            </a:pPr>
          </a:p>
        </c:txPr>
        <c:crossAx val="1311920430"/>
      </c:catAx>
      <c:valAx>
        <c:axId val="13119204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3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3000">
                    <a:solidFill>
                      <a:srgbClr val="000000"/>
                    </a:solidFill>
                    <a:latin typeface="+mn-lt"/>
                  </a:rPr>
                  <a:t>CPU Usage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3000">
                <a:solidFill>
                  <a:srgbClr val="000000"/>
                </a:solidFill>
                <a:latin typeface="+mn-lt"/>
              </a:defRPr>
            </a:pPr>
          </a:p>
        </c:txPr>
        <c:crossAx val="1067961115"/>
      </c:valAx>
    </c:plotArea>
    <c:legend>
      <c:legendPos val="r"/>
      <c:overlay val="0"/>
      <c:txPr>
        <a:bodyPr/>
        <a:lstStyle/>
        <a:p>
          <a:pPr lvl="0">
            <a:defRPr b="0" sz="3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CPU Logstash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Results!$AA$36:$AA$60</c:f>
              <c:numCache/>
            </c:numRef>
          </c:val>
          <c:smooth val="0"/>
        </c:ser>
        <c:ser>
          <c:idx val="1"/>
          <c:order val="1"/>
          <c:tx>
            <c:v>Mean CPU Logstash</c:v>
          </c:tx>
          <c:spPr>
            <a:ln cmpd="sng">
              <a:solidFill>
                <a:srgbClr val="EA4335"/>
              </a:solidFill>
              <a:prstDash val="dash"/>
            </a:ln>
          </c:spPr>
          <c:marker>
            <c:symbol val="none"/>
          </c:marker>
          <c:val>
            <c:numRef>
              <c:f>Results!$AJ$64:$AJ$88</c:f>
              <c:numCache/>
            </c:numRef>
          </c:val>
          <c:smooth val="0"/>
        </c:ser>
        <c:axId val="1116527356"/>
        <c:axId val="710725215"/>
      </c:lineChart>
      <c:catAx>
        <c:axId val="1116527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0725215"/>
      </c:catAx>
      <c:valAx>
        <c:axId val="710725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65273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Probe Latency - S0 and Average Latency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Results!$A$66:$A$90</c:f>
            </c:strRef>
          </c:cat>
          <c:val>
            <c:numRef>
              <c:f>Results!$B$66:$B$90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Results!$A$66:$A$90</c:f>
            </c:strRef>
          </c:cat>
          <c:val>
            <c:numRef>
              <c:f>Results!$G$66:$G$90</c:f>
              <c:numCache/>
            </c:numRef>
          </c:val>
          <c:smooth val="0"/>
        </c:ser>
        <c:axId val="1598674127"/>
        <c:axId val="158685407"/>
      </c:lineChart>
      <c:catAx>
        <c:axId val="1598674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685407"/>
      </c:catAx>
      <c:valAx>
        <c:axId val="1586854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86741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Probe Latency - S1 and Average Latency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Results!$A$66:$A$90</c:f>
            </c:strRef>
          </c:cat>
          <c:val>
            <c:numRef>
              <c:f>Results!$C$66:$C$90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Results!$A$66:$A$90</c:f>
            </c:strRef>
          </c:cat>
          <c:val>
            <c:numRef>
              <c:f>Results!$G$66:$G$90</c:f>
              <c:numCache/>
            </c:numRef>
          </c:val>
          <c:smooth val="0"/>
        </c:ser>
        <c:axId val="838577836"/>
        <c:axId val="448982837"/>
      </c:lineChart>
      <c:catAx>
        <c:axId val="8385778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8982837"/>
      </c:catAx>
      <c:valAx>
        <c:axId val="4489828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85778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Probe Latency - S2 and Average Latency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Results!$A$66:$A$90</c:f>
            </c:strRef>
          </c:cat>
          <c:val>
            <c:numRef>
              <c:f>Results!$D$66:$D$90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Results!$A$66:$A$90</c:f>
            </c:strRef>
          </c:cat>
          <c:val>
            <c:numRef>
              <c:f>Results!$G$66:$G$90</c:f>
              <c:numCache/>
            </c:numRef>
          </c:val>
          <c:smooth val="0"/>
        </c:ser>
        <c:axId val="168053070"/>
        <c:axId val="1102247392"/>
      </c:lineChart>
      <c:catAx>
        <c:axId val="1680530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2247392"/>
      </c:catAx>
      <c:valAx>
        <c:axId val="11022473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0530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Probe Latency - S3 and Average Latency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Results!$A$66:$A$90</c:f>
            </c:strRef>
          </c:cat>
          <c:val>
            <c:numRef>
              <c:f>Results!$E$66:$E$90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Results!$A$66:$A$90</c:f>
            </c:strRef>
          </c:cat>
          <c:val>
            <c:numRef>
              <c:f>Results!$G$66:$G$90</c:f>
              <c:numCache/>
            </c:numRef>
          </c:val>
          <c:smooth val="0"/>
        </c:ser>
        <c:axId val="878034852"/>
        <c:axId val="1162959051"/>
      </c:lineChart>
      <c:catAx>
        <c:axId val="878034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2959051"/>
      </c:catAx>
      <c:valAx>
        <c:axId val="11629590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80348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Probe Latency - S4 and Average Latency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Results!$A$66:$A$90</c:f>
            </c:strRef>
          </c:cat>
          <c:val>
            <c:numRef>
              <c:f>Results!$F$66:$F$90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Results!$A$66:$A$90</c:f>
            </c:strRef>
          </c:cat>
          <c:val>
            <c:numRef>
              <c:f>Results!$G$66:$G$90</c:f>
              <c:numCache/>
            </c:numRef>
          </c:val>
          <c:smooth val="0"/>
        </c:ser>
        <c:axId val="720630320"/>
        <c:axId val="2100730027"/>
      </c:lineChart>
      <c:catAx>
        <c:axId val="720630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0730027"/>
      </c:catAx>
      <c:valAx>
        <c:axId val="21007300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06303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Probe Latency - S0 and Standard Deviation 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Results!$B$65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Results!$A$66:$A$90</c:f>
            </c:strRef>
          </c:cat>
          <c:val>
            <c:numRef>
              <c:f>Results!$B$66:$B$90</c:f>
              <c:numCache/>
            </c:numRef>
          </c:val>
        </c:ser>
        <c:ser>
          <c:idx val="1"/>
          <c:order val="1"/>
          <c:tx>
            <c:strRef>
              <c:f>Results!$J$65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Results!$A$66:$A$90</c:f>
            </c:strRef>
          </c:cat>
          <c:val>
            <c:numRef>
              <c:f>Results!$J$66:$J$90</c:f>
              <c:numCache/>
            </c:numRef>
          </c:val>
        </c:ser>
        <c:overlap val="100"/>
        <c:axId val="676607940"/>
        <c:axId val="668018612"/>
      </c:barChart>
      <c:catAx>
        <c:axId val="6766079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8018612"/>
      </c:catAx>
      <c:valAx>
        <c:axId val="6680186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66079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Probe Latency - S1 and Standard Deviation 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Results!$A$66:$A$90</c:f>
            </c:strRef>
          </c:cat>
          <c:val>
            <c:numRef>
              <c:f>Results!$C$66:$C$90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Results!$A$66:$A$90</c:f>
            </c:strRef>
          </c:cat>
          <c:val>
            <c:numRef>
              <c:f>Results!$J$66:$J$90</c:f>
              <c:numCache/>
            </c:numRef>
          </c:val>
        </c:ser>
        <c:overlap val="100"/>
        <c:axId val="1658387564"/>
        <c:axId val="1576749636"/>
      </c:barChart>
      <c:catAx>
        <c:axId val="16583875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6749636"/>
      </c:catAx>
      <c:valAx>
        <c:axId val="15767496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83875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Probe Latency - S2 and Standard Deviation 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Results!$A$66:$A$90</c:f>
            </c:strRef>
          </c:cat>
          <c:val>
            <c:numRef>
              <c:f>Results!$D$66:$D$90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Results!$A$66:$A$90</c:f>
            </c:strRef>
          </c:cat>
          <c:val>
            <c:numRef>
              <c:f>Results!$J$66:$J$90</c:f>
              <c:numCache/>
            </c:numRef>
          </c:val>
        </c:ser>
        <c:overlap val="100"/>
        <c:axId val="834973418"/>
        <c:axId val="703374108"/>
      </c:barChart>
      <c:catAx>
        <c:axId val="8349734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3374108"/>
      </c:catAx>
      <c:valAx>
        <c:axId val="7033741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49734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Probe Latency - S3 and Standard Deviation 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Results!$A$66:$A$90</c:f>
            </c:strRef>
          </c:cat>
          <c:val>
            <c:numRef>
              <c:f>Results!$E$66:$E$90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Results!$A$66:$A$90</c:f>
            </c:strRef>
          </c:cat>
          <c:val>
            <c:numRef>
              <c:f>Results!$J$66:$J$90</c:f>
              <c:numCache/>
            </c:numRef>
          </c:val>
        </c:ser>
        <c:overlap val="100"/>
        <c:axId val="635759876"/>
        <c:axId val="1434575280"/>
      </c:barChart>
      <c:catAx>
        <c:axId val="6357598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4575280"/>
      </c:catAx>
      <c:valAx>
        <c:axId val="14345752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57598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Probe Latency - S4 and Standard Deviation 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Results!$F$65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Results!$A$66:$A$90</c:f>
            </c:strRef>
          </c:cat>
          <c:val>
            <c:numRef>
              <c:f>Results!$F$66:$F$90</c:f>
              <c:numCache/>
            </c:numRef>
          </c:val>
        </c:ser>
        <c:ser>
          <c:idx val="1"/>
          <c:order val="1"/>
          <c:tx>
            <c:strRef>
              <c:f>Results!$J$65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Results!$A$66:$A$90</c:f>
            </c:strRef>
          </c:cat>
          <c:val>
            <c:numRef>
              <c:f>Results!$J$66:$J$90</c:f>
              <c:numCache/>
            </c:numRef>
          </c:val>
        </c:ser>
        <c:overlap val="100"/>
        <c:axId val="580115449"/>
        <c:axId val="1186314028"/>
      </c:barChart>
      <c:catAx>
        <c:axId val="580115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6314028"/>
      </c:catAx>
      <c:valAx>
        <c:axId val="11863140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01154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Latency Index  - S0 and Average Latency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Results!$B$94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Results!$A$95:$A$119</c:f>
            </c:strRef>
          </c:cat>
          <c:val>
            <c:numRef>
              <c:f>Results!$B$95:$B$119</c:f>
              <c:numCache/>
            </c:numRef>
          </c:val>
          <c:smooth val="0"/>
        </c:ser>
        <c:ser>
          <c:idx val="1"/>
          <c:order val="1"/>
          <c:tx>
            <c:strRef>
              <c:f>Results!$G$94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Results!$A$95:$A$119</c:f>
            </c:strRef>
          </c:cat>
          <c:val>
            <c:numRef>
              <c:f>Results!$G$95:$G$119</c:f>
              <c:numCache/>
            </c:numRef>
          </c:val>
          <c:smooth val="0"/>
        </c:ser>
        <c:axId val="661379391"/>
        <c:axId val="1405543775"/>
      </c:lineChart>
      <c:catAx>
        <c:axId val="661379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5543775"/>
      </c:catAx>
      <c:valAx>
        <c:axId val="14055437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13793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Latency Index  - S1 and Average Latency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Results!$C$94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Results!$A$95:$A$119</c:f>
            </c:strRef>
          </c:cat>
          <c:val>
            <c:numRef>
              <c:f>Results!$C$95:$C$119</c:f>
              <c:numCache/>
            </c:numRef>
          </c:val>
          <c:smooth val="0"/>
        </c:ser>
        <c:ser>
          <c:idx val="1"/>
          <c:order val="1"/>
          <c:tx>
            <c:strRef>
              <c:f>Results!$G$94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Results!$A$95:$A$119</c:f>
            </c:strRef>
          </c:cat>
          <c:val>
            <c:numRef>
              <c:f>Results!$G$95:$G$119</c:f>
              <c:numCache/>
            </c:numRef>
          </c:val>
          <c:smooth val="0"/>
        </c:ser>
        <c:axId val="1163164358"/>
        <c:axId val="2099655784"/>
      </c:lineChart>
      <c:catAx>
        <c:axId val="11631643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9655784"/>
      </c:catAx>
      <c:valAx>
        <c:axId val="20996557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31643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Latency Index  - S2 and Average Latency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Results!$D$94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Results!$A$95:$A$119</c:f>
            </c:strRef>
          </c:cat>
          <c:val>
            <c:numRef>
              <c:f>Results!$D$95:$D$119</c:f>
              <c:numCache/>
            </c:numRef>
          </c:val>
          <c:smooth val="0"/>
        </c:ser>
        <c:ser>
          <c:idx val="1"/>
          <c:order val="1"/>
          <c:tx>
            <c:strRef>
              <c:f>Results!$G$94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Results!$A$95:$A$119</c:f>
            </c:strRef>
          </c:cat>
          <c:val>
            <c:numRef>
              <c:f>Results!$G$95:$G$119</c:f>
              <c:numCache/>
            </c:numRef>
          </c:val>
          <c:smooth val="0"/>
        </c:ser>
        <c:axId val="1776910418"/>
        <c:axId val="1367918728"/>
      </c:lineChart>
      <c:catAx>
        <c:axId val="17769104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7918728"/>
      </c:catAx>
      <c:valAx>
        <c:axId val="13679187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69104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Latency Index  - S3 and Average Latency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Results!$A$95:$A$119</c:f>
            </c:strRef>
          </c:cat>
          <c:val>
            <c:numRef>
              <c:f>Results!$E$95:$E$119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Results!$A$95:$A$119</c:f>
            </c:strRef>
          </c:cat>
          <c:val>
            <c:numRef>
              <c:f>Results!$G$95:$G$119</c:f>
              <c:numCache/>
            </c:numRef>
          </c:val>
          <c:smooth val="0"/>
        </c:ser>
        <c:axId val="2079495755"/>
        <c:axId val="1821757738"/>
      </c:lineChart>
      <c:catAx>
        <c:axId val="2079495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1757738"/>
      </c:catAx>
      <c:valAx>
        <c:axId val="18217577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94957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Latency Index  - S4 and Average Latency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Results!$F$94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Results!$A$95:$A$119</c:f>
            </c:strRef>
          </c:cat>
          <c:val>
            <c:numRef>
              <c:f>Results!$F$95:$F$119</c:f>
              <c:numCache/>
            </c:numRef>
          </c:val>
          <c:smooth val="0"/>
        </c:ser>
        <c:ser>
          <c:idx val="1"/>
          <c:order val="1"/>
          <c:tx>
            <c:strRef>
              <c:f>Results!$G$94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Results!$A$95:$A$119</c:f>
            </c:strRef>
          </c:cat>
          <c:val>
            <c:numRef>
              <c:f>Results!$G$95:$G$119</c:f>
              <c:numCache/>
            </c:numRef>
          </c:val>
          <c:smooth val="0"/>
        </c:ser>
        <c:axId val="231568519"/>
        <c:axId val="371343623"/>
      </c:lineChart>
      <c:catAx>
        <c:axId val="231568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1343623"/>
      </c:catAx>
      <c:valAx>
        <c:axId val="3713436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15685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Latency - S0, Total Latency - S1, Total Latency - S2, Total Latency - S3, Total Latency - S4</a:t>
            </a:r>
          </a:p>
        </c:rich>
      </c:tx>
      <c:overlay val="0"/>
    </c:title>
    <c:plotArea>
      <c:layout/>
      <c:lineChart>
        <c:ser>
          <c:idx val="0"/>
          <c:order val="0"/>
          <c:tx>
            <c:v>Total Latency - S0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Results!$A$35:$A$59</c:f>
            </c:strRef>
          </c:cat>
          <c:val>
            <c:numRef>
              <c:f>Results!$B$35:$B$59</c:f>
              <c:numCache/>
            </c:numRef>
          </c:val>
          <c:smooth val="0"/>
        </c:ser>
        <c:ser>
          <c:idx val="1"/>
          <c:order val="1"/>
          <c:tx>
            <c:v>Total Latency - S1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Results!$A$35:$A$59</c:f>
            </c:strRef>
          </c:cat>
          <c:val>
            <c:numRef>
              <c:f>Results!$C$35:$C$59</c:f>
              <c:numCache/>
            </c:numRef>
          </c:val>
          <c:smooth val="0"/>
        </c:ser>
        <c:ser>
          <c:idx val="2"/>
          <c:order val="2"/>
          <c:tx>
            <c:v>Total Latency - S2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Results!$A$35:$A$59</c:f>
            </c:strRef>
          </c:cat>
          <c:val>
            <c:numRef>
              <c:f>Results!$D$35:$D$59</c:f>
              <c:numCache/>
            </c:numRef>
          </c:val>
          <c:smooth val="0"/>
        </c:ser>
        <c:ser>
          <c:idx val="3"/>
          <c:order val="3"/>
          <c:tx>
            <c:v>Total Latency - S3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Results!$A$35:$A$59</c:f>
            </c:strRef>
          </c:cat>
          <c:val>
            <c:numRef>
              <c:f>Results!$E$35:$E$59</c:f>
              <c:numCache/>
            </c:numRef>
          </c:val>
          <c:smooth val="0"/>
        </c:ser>
        <c:ser>
          <c:idx val="4"/>
          <c:order val="4"/>
          <c:tx>
            <c:v>Total Latency - S4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Results!$A$35:$A$59</c:f>
            </c:strRef>
          </c:cat>
          <c:val>
            <c:numRef>
              <c:f>Results!$F$35:$F$59</c:f>
              <c:numCache/>
            </c:numRef>
          </c:val>
          <c:smooth val="0"/>
        </c:ser>
        <c:ser>
          <c:idx val="5"/>
          <c:order val="5"/>
          <c:tx>
            <c:v>Mean Latency</c:v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Results!$A$35:$A$59</c:f>
            </c:strRef>
          </c:cat>
          <c:val>
            <c:numRef>
              <c:f>Results!$G$35:$G$59</c:f>
              <c:numCache/>
            </c:numRef>
          </c:val>
          <c:smooth val="0"/>
        </c:ser>
        <c:axId val="1473668683"/>
        <c:axId val="289145540"/>
      </c:lineChart>
      <c:catAx>
        <c:axId val="14736686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Run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9145540"/>
      </c:catAx>
      <c:valAx>
        <c:axId val="289145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36686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Indexing Latency - S0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Results!$A$95:$A$119</c:f>
            </c:strRef>
          </c:cat>
          <c:val>
            <c:numRef>
              <c:f>Results!$B$95:$B$119</c:f>
              <c:numCache/>
            </c:numRef>
          </c:val>
          <c:smooth val="0"/>
        </c:ser>
        <c:ser>
          <c:idx val="1"/>
          <c:order val="1"/>
          <c:tx>
            <c:v>Indexing Latency - S1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Results!$A$95:$A$119</c:f>
            </c:strRef>
          </c:cat>
          <c:val>
            <c:numRef>
              <c:f>Results!$C$95:$C$119</c:f>
              <c:numCache/>
            </c:numRef>
          </c:val>
          <c:smooth val="0"/>
        </c:ser>
        <c:ser>
          <c:idx val="2"/>
          <c:order val="2"/>
          <c:tx>
            <c:v>Indexing Latency - S2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Results!$A$95:$A$119</c:f>
            </c:strRef>
          </c:cat>
          <c:val>
            <c:numRef>
              <c:f>Results!$D$95:$D$119</c:f>
              <c:numCache/>
            </c:numRef>
          </c:val>
          <c:smooth val="0"/>
        </c:ser>
        <c:ser>
          <c:idx val="3"/>
          <c:order val="3"/>
          <c:tx>
            <c:v>Indexing Latency - S3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Results!$A$95:$A$119</c:f>
            </c:strRef>
          </c:cat>
          <c:val>
            <c:numRef>
              <c:f>Results!$E$95:$E$119</c:f>
              <c:numCache/>
            </c:numRef>
          </c:val>
          <c:smooth val="0"/>
        </c:ser>
        <c:ser>
          <c:idx val="4"/>
          <c:order val="4"/>
          <c:tx>
            <c:v>Indexing Latency - S4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Results!$A$95:$A$119</c:f>
            </c:strRef>
          </c:cat>
          <c:val>
            <c:numRef>
              <c:f>Results!$F$95:$F$119</c:f>
              <c:numCache/>
            </c:numRef>
          </c:val>
          <c:smooth val="0"/>
        </c:ser>
        <c:ser>
          <c:idx val="5"/>
          <c:order val="5"/>
          <c:tx>
            <c:v>Mean Latency</c:v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Results!$A$95:$A$119</c:f>
            </c:strRef>
          </c:cat>
          <c:val>
            <c:numRef>
              <c:f>Results!$G$95:$G$119</c:f>
              <c:numCache/>
            </c:numRef>
          </c:val>
          <c:smooth val="0"/>
        </c:ser>
        <c:axId val="703387384"/>
        <c:axId val="1026261070"/>
      </c:lineChart>
      <c:catAx>
        <c:axId val="703387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3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3000">
                    <a:solidFill>
                      <a:srgbClr val="000000"/>
                    </a:solidFill>
                    <a:latin typeface="+mn-lt"/>
                  </a:rPr>
                  <a:t>Run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3000">
                <a:solidFill>
                  <a:srgbClr val="000000"/>
                </a:solidFill>
                <a:latin typeface="+mn-lt"/>
              </a:defRPr>
            </a:pPr>
          </a:p>
        </c:txPr>
        <c:crossAx val="1026261070"/>
      </c:catAx>
      <c:valAx>
        <c:axId val="10262610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3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3000">
                    <a:solidFill>
                      <a:srgbClr val="000000"/>
                    </a:solidFill>
                    <a:latin typeface="+mn-lt"/>
                  </a:rPr>
                  <a:t>Indexing Latency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3000">
                <a:solidFill>
                  <a:srgbClr val="000000"/>
                </a:solidFill>
                <a:latin typeface="+mn-lt"/>
              </a:defRPr>
            </a:pPr>
          </a:p>
        </c:txPr>
        <c:crossAx val="703387384"/>
      </c:valAx>
    </c:plotArea>
    <c:legend>
      <c:legendPos val="r"/>
      <c:legendEntry>
        <c:idx val="0"/>
        <c:txPr>
          <a:bodyPr/>
          <a:lstStyle/>
          <a:p>
            <a:pPr lvl="0">
              <a:defRPr sz="3000"/>
            </a:pPr>
          </a:p>
        </c:txPr>
      </c:legendEntry>
      <c:legendEntry>
        <c:idx val="1"/>
        <c:txPr>
          <a:bodyPr/>
          <a:lstStyle/>
          <a:p>
            <a:pPr lvl="0">
              <a:defRPr sz="3000"/>
            </a:pPr>
          </a:p>
        </c:txPr>
      </c:legendEntry>
      <c:legendEntry>
        <c:idx val="2"/>
        <c:txPr>
          <a:bodyPr/>
          <a:lstStyle/>
          <a:p>
            <a:pPr lvl="0">
              <a:defRPr sz="3000"/>
            </a:pPr>
          </a:p>
        </c:txPr>
      </c:legendEntry>
      <c:legendEntry>
        <c:idx val="3"/>
        <c:txPr>
          <a:bodyPr/>
          <a:lstStyle/>
          <a:p>
            <a:pPr lvl="0">
              <a:defRPr sz="3000"/>
            </a:pPr>
          </a:p>
        </c:txPr>
      </c:legendEntry>
      <c:legendEntry>
        <c:idx val="4"/>
        <c:txPr>
          <a:bodyPr/>
          <a:lstStyle/>
          <a:p>
            <a:pPr lvl="0">
              <a:defRPr sz="3000"/>
            </a:pPr>
          </a:p>
        </c:txPr>
      </c:legendEntry>
      <c:legendEntry>
        <c:idx val="5"/>
        <c:txPr>
          <a:bodyPr/>
          <a:lstStyle/>
          <a:p>
            <a:pPr lvl="0">
              <a:defRPr sz="3000"/>
            </a:pPr>
          </a:p>
        </c:txPr>
      </c:legendEntry>
      <c:overlay val="0"/>
      <c:txPr>
        <a:bodyPr/>
        <a:lstStyle/>
        <a:p>
          <a:pPr lvl="0">
            <a:defRPr b="0" sz="3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Latency - S0 and Average Latency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Results!$B$34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Results!$A$35:$A$59</c:f>
            </c:strRef>
          </c:cat>
          <c:val>
            <c:numRef>
              <c:f>Results!$B$35:$B$59</c:f>
              <c:numCache/>
            </c:numRef>
          </c:val>
          <c:smooth val="0"/>
        </c:ser>
        <c:ser>
          <c:idx val="1"/>
          <c:order val="1"/>
          <c:tx>
            <c:strRef>
              <c:f>Results!$G$34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Results!$A$35:$A$59</c:f>
            </c:strRef>
          </c:cat>
          <c:val>
            <c:numRef>
              <c:f>Results!$G$35:$G$59</c:f>
              <c:numCache/>
            </c:numRef>
          </c:val>
          <c:smooth val="0"/>
        </c:ser>
        <c:axId val="1897499785"/>
        <c:axId val="740132338"/>
      </c:lineChart>
      <c:catAx>
        <c:axId val="18974997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0132338"/>
      </c:catAx>
      <c:valAx>
        <c:axId val="7401323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74997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Latency - S1 and Average Latency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Results!$C$34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Results!$A$35:$A$59</c:f>
            </c:strRef>
          </c:cat>
          <c:val>
            <c:numRef>
              <c:f>Results!$C$35:$C$59</c:f>
              <c:numCache/>
            </c:numRef>
          </c:val>
          <c:smooth val="0"/>
        </c:ser>
        <c:ser>
          <c:idx val="1"/>
          <c:order val="1"/>
          <c:tx>
            <c:strRef>
              <c:f>Results!$G$34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Results!$A$35:$A$59</c:f>
            </c:strRef>
          </c:cat>
          <c:val>
            <c:numRef>
              <c:f>Results!$G$35:$G$59</c:f>
              <c:numCache/>
            </c:numRef>
          </c:val>
          <c:smooth val="0"/>
        </c:ser>
        <c:axId val="1959160000"/>
        <c:axId val="1102070919"/>
      </c:lineChart>
      <c:catAx>
        <c:axId val="1959160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2070919"/>
      </c:catAx>
      <c:valAx>
        <c:axId val="11020709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91600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Latency - S2 and Average Latency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Results!$D$34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Results!$A$35:$A$59</c:f>
            </c:strRef>
          </c:cat>
          <c:val>
            <c:numRef>
              <c:f>Results!$D$35:$D$59</c:f>
              <c:numCache/>
            </c:numRef>
          </c:val>
          <c:smooth val="0"/>
        </c:ser>
        <c:ser>
          <c:idx val="1"/>
          <c:order val="1"/>
          <c:tx>
            <c:strRef>
              <c:f>Results!$G$34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Results!$A$35:$A$59</c:f>
            </c:strRef>
          </c:cat>
          <c:val>
            <c:numRef>
              <c:f>Results!$G$35:$G$59</c:f>
              <c:numCache/>
            </c:numRef>
          </c:val>
          <c:smooth val="0"/>
        </c:ser>
        <c:axId val="63994896"/>
        <c:axId val="2647208"/>
      </c:lineChart>
      <c:catAx>
        <c:axId val="63994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47208"/>
      </c:catAx>
      <c:valAx>
        <c:axId val="26472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9948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Latency - S3 and Average Latency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Results!$E$34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Results!$A$35:$A$59</c:f>
            </c:strRef>
          </c:cat>
          <c:val>
            <c:numRef>
              <c:f>Results!$E$35:$E$59</c:f>
              <c:numCache/>
            </c:numRef>
          </c:val>
          <c:smooth val="0"/>
        </c:ser>
        <c:ser>
          <c:idx val="1"/>
          <c:order val="1"/>
          <c:tx>
            <c:strRef>
              <c:f>Results!$G$34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Results!$A$35:$A$59</c:f>
            </c:strRef>
          </c:cat>
          <c:val>
            <c:numRef>
              <c:f>Results!$G$35:$G$59</c:f>
              <c:numCache/>
            </c:numRef>
          </c:val>
          <c:smooth val="0"/>
        </c:ser>
        <c:axId val="1866889132"/>
        <c:axId val="1551246860"/>
      </c:lineChart>
      <c:catAx>
        <c:axId val="18668891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1246860"/>
      </c:catAx>
      <c:valAx>
        <c:axId val="15512468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68891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Latency - S4 and Average Latency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Results!$F$34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Results!$A$35:$A$59</c:f>
            </c:strRef>
          </c:cat>
          <c:val>
            <c:numRef>
              <c:f>Results!$F$35:$F$59</c:f>
              <c:numCache/>
            </c:numRef>
          </c:val>
          <c:smooth val="0"/>
        </c:ser>
        <c:ser>
          <c:idx val="1"/>
          <c:order val="1"/>
          <c:tx>
            <c:strRef>
              <c:f>Results!$G$34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Results!$A$35:$A$59</c:f>
            </c:strRef>
          </c:cat>
          <c:val>
            <c:numRef>
              <c:f>Results!$G$35:$G$59</c:f>
              <c:numCache/>
            </c:numRef>
          </c:val>
          <c:smooth val="0"/>
        </c:ser>
        <c:axId val="784261049"/>
        <c:axId val="857317545"/>
      </c:lineChart>
      <c:catAx>
        <c:axId val="784261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7317545"/>
      </c:catAx>
      <c:valAx>
        <c:axId val="8573175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42610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Latency - S0, Total Latency - S1, Total Latency - S2, Total Latency - S3, Total Latency - S4</a:t>
            </a:r>
          </a:p>
        </c:rich>
      </c:tx>
      <c:overlay val="0"/>
    </c:title>
    <c:plotArea>
      <c:layout/>
      <c:lineChart>
        <c:ser>
          <c:idx val="0"/>
          <c:order val="0"/>
          <c:tx>
            <c:v>Total Latency - S0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Results!$A$35:$A$59</c:f>
            </c:strRef>
          </c:cat>
          <c:val>
            <c:numRef>
              <c:f>Results!$B$35:$B$59</c:f>
              <c:numCache/>
            </c:numRef>
          </c:val>
          <c:smooth val="0"/>
        </c:ser>
        <c:ser>
          <c:idx val="1"/>
          <c:order val="1"/>
          <c:tx>
            <c:v>Total Latency - S1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Results!$A$35:$A$59</c:f>
            </c:strRef>
          </c:cat>
          <c:val>
            <c:numRef>
              <c:f>Results!$C$35:$C$59</c:f>
              <c:numCache/>
            </c:numRef>
          </c:val>
          <c:smooth val="0"/>
        </c:ser>
        <c:ser>
          <c:idx val="2"/>
          <c:order val="2"/>
          <c:tx>
            <c:v>Total Latency - S2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Results!$A$35:$A$59</c:f>
            </c:strRef>
          </c:cat>
          <c:val>
            <c:numRef>
              <c:f>Results!$D$35:$D$59</c:f>
              <c:numCache/>
            </c:numRef>
          </c:val>
          <c:smooth val="0"/>
        </c:ser>
        <c:ser>
          <c:idx val="3"/>
          <c:order val="3"/>
          <c:tx>
            <c:v>Total Latency - S3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Results!$A$35:$A$59</c:f>
            </c:strRef>
          </c:cat>
          <c:val>
            <c:numRef>
              <c:f>Results!$E$35:$E$59</c:f>
              <c:numCache/>
            </c:numRef>
          </c:val>
          <c:smooth val="0"/>
        </c:ser>
        <c:ser>
          <c:idx val="4"/>
          <c:order val="4"/>
          <c:tx>
            <c:v>Total Latency - S4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Results!$A$35:$A$59</c:f>
            </c:strRef>
          </c:cat>
          <c:val>
            <c:numRef>
              <c:f>Results!$F$35:$F$59</c:f>
              <c:numCache/>
            </c:numRef>
          </c:val>
          <c:smooth val="0"/>
        </c:ser>
        <c:ser>
          <c:idx val="5"/>
          <c:order val="5"/>
          <c:tx>
            <c:v>Mean Latency</c:v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Results!$A$35:$A$59</c:f>
            </c:strRef>
          </c:cat>
          <c:val>
            <c:numRef>
              <c:f>Results!$G$35:$G$59</c:f>
              <c:numCache/>
            </c:numRef>
          </c:val>
          <c:smooth val="0"/>
        </c:ser>
        <c:axId val="1396398774"/>
        <c:axId val="1365788911"/>
      </c:lineChart>
      <c:catAx>
        <c:axId val="1396398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5788911"/>
      </c:catAx>
      <c:valAx>
        <c:axId val="13657889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63987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Latency - S0 and Standard Deviation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Results!$B$34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Results!$A$35:$A$59</c:f>
            </c:strRef>
          </c:cat>
          <c:val>
            <c:numRef>
              <c:f>Results!$B$35:$B$59</c:f>
              <c:numCache/>
            </c:numRef>
          </c:val>
        </c:ser>
        <c:ser>
          <c:idx val="1"/>
          <c:order val="1"/>
          <c:tx>
            <c:strRef>
              <c:f>Results!$J$34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Results!$A$35:$A$59</c:f>
            </c:strRef>
          </c:cat>
          <c:val>
            <c:numRef>
              <c:f>Results!$J$35:$J$59</c:f>
              <c:numCache/>
            </c:numRef>
          </c:val>
        </c:ser>
        <c:overlap val="100"/>
        <c:axId val="1052024560"/>
        <c:axId val="1835066787"/>
      </c:barChart>
      <c:catAx>
        <c:axId val="1052024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5066787"/>
      </c:catAx>
      <c:valAx>
        <c:axId val="18350667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20245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Latency - S1 and Standard Deviation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Results!$C$34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Results!$A$35:$A$59</c:f>
            </c:strRef>
          </c:cat>
          <c:val>
            <c:numRef>
              <c:f>Results!$C$35:$C$59</c:f>
              <c:numCache/>
            </c:numRef>
          </c:val>
        </c:ser>
        <c:ser>
          <c:idx val="1"/>
          <c:order val="1"/>
          <c:tx>
            <c:strRef>
              <c:f>Results!$J$34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Results!$A$35:$A$59</c:f>
            </c:strRef>
          </c:cat>
          <c:val>
            <c:numRef>
              <c:f>Results!$J$35:$J$59</c:f>
              <c:numCache/>
            </c:numRef>
          </c:val>
        </c:ser>
        <c:overlap val="100"/>
        <c:axId val="2048445030"/>
        <c:axId val="926185610"/>
      </c:barChart>
      <c:catAx>
        <c:axId val="2048445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6185610"/>
      </c:catAx>
      <c:valAx>
        <c:axId val="9261856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84450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Latency - S2 and Standard Deviation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Results!$D$34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Results!$A$35:$A$59</c:f>
            </c:strRef>
          </c:cat>
          <c:val>
            <c:numRef>
              <c:f>Results!$D$35:$D$59</c:f>
              <c:numCache/>
            </c:numRef>
          </c:val>
        </c:ser>
        <c:ser>
          <c:idx val="1"/>
          <c:order val="1"/>
          <c:tx>
            <c:strRef>
              <c:f>Results!$J$34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Results!$A$35:$A$59</c:f>
            </c:strRef>
          </c:cat>
          <c:val>
            <c:numRef>
              <c:f>Results!$J$35:$J$59</c:f>
              <c:numCache/>
            </c:numRef>
          </c:val>
        </c:ser>
        <c:overlap val="100"/>
        <c:axId val="1292721731"/>
        <c:axId val="166994316"/>
      </c:barChart>
      <c:catAx>
        <c:axId val="12927217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994316"/>
      </c:catAx>
      <c:valAx>
        <c:axId val="1669943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27217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Latency - S3 and Standard Deviation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Results!$E$34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Results!$A$35:$A$59</c:f>
            </c:strRef>
          </c:cat>
          <c:val>
            <c:numRef>
              <c:f>Results!$E$35:$E$59</c:f>
              <c:numCache/>
            </c:numRef>
          </c:val>
        </c:ser>
        <c:ser>
          <c:idx val="1"/>
          <c:order val="1"/>
          <c:tx>
            <c:strRef>
              <c:f>Results!$J$34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Results!$A$35:$A$59</c:f>
            </c:strRef>
          </c:cat>
          <c:val>
            <c:numRef>
              <c:f>Results!$J$35:$J$59</c:f>
              <c:numCache/>
            </c:numRef>
          </c:val>
        </c:ser>
        <c:overlap val="100"/>
        <c:axId val="1010760204"/>
        <c:axId val="1737885967"/>
      </c:barChart>
      <c:catAx>
        <c:axId val="10107602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7885967"/>
      </c:catAx>
      <c:valAx>
        <c:axId val="17378859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07602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Latency - S4 and Standard Deviation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Results!$F$34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Results!$A$35:$A$59</c:f>
            </c:strRef>
          </c:cat>
          <c:val>
            <c:numRef>
              <c:f>Results!$F$35:$F$59</c:f>
              <c:numCache/>
            </c:numRef>
          </c:val>
        </c:ser>
        <c:ser>
          <c:idx val="1"/>
          <c:order val="1"/>
          <c:tx>
            <c:strRef>
              <c:f>Results!$J$34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Results!$A$35:$A$59</c:f>
            </c:strRef>
          </c:cat>
          <c:val>
            <c:numRef>
              <c:f>Results!$J$35:$J$59</c:f>
              <c:numCache/>
            </c:numRef>
          </c:val>
        </c:ser>
        <c:overlap val="100"/>
        <c:axId val="1753684483"/>
        <c:axId val="1817950448"/>
      </c:barChart>
      <c:catAx>
        <c:axId val="17536844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7950448"/>
      </c:catAx>
      <c:valAx>
        <c:axId val="18179504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36844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10" Type="http://schemas.openxmlformats.org/officeDocument/2006/relationships/chart" Target="../charts/chart14.xml"/><Relationship Id="rId9" Type="http://schemas.openxmlformats.org/officeDocument/2006/relationships/chart" Target="../charts/chart13.xml"/><Relationship Id="rId5" Type="http://schemas.openxmlformats.org/officeDocument/2006/relationships/chart" Target="../charts/chart9.xml"/><Relationship Id="rId6" Type="http://schemas.openxmlformats.org/officeDocument/2006/relationships/chart" Target="../charts/chart10.xml"/><Relationship Id="rId7" Type="http://schemas.openxmlformats.org/officeDocument/2006/relationships/chart" Target="../charts/chart11.xml"/><Relationship Id="rId8" Type="http://schemas.openxmlformats.org/officeDocument/2006/relationships/chart" Target="../charts/chart1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<Relationship Id="rId5" Type="http://schemas.openxmlformats.org/officeDocument/2006/relationships/chart" Target="../charts/chart19.xml"/><Relationship Id="rId6" Type="http://schemas.openxmlformats.org/officeDocument/2006/relationships/chart" Target="../charts/chart20.xml"/><Relationship Id="rId7" Type="http://schemas.openxmlformats.org/officeDocument/2006/relationships/chart" Target="../charts/chart2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Relationship Id="rId4" Type="http://schemas.openxmlformats.org/officeDocument/2006/relationships/chart" Target="../charts/chart25.xml"/><Relationship Id="rId11" Type="http://schemas.openxmlformats.org/officeDocument/2006/relationships/chart" Target="../charts/chart32.xml"/><Relationship Id="rId10" Type="http://schemas.openxmlformats.org/officeDocument/2006/relationships/chart" Target="../charts/chart31.xml"/><Relationship Id="rId9" Type="http://schemas.openxmlformats.org/officeDocument/2006/relationships/chart" Target="../charts/chart30.xml"/><Relationship Id="rId5" Type="http://schemas.openxmlformats.org/officeDocument/2006/relationships/chart" Target="../charts/chart26.xml"/><Relationship Id="rId6" Type="http://schemas.openxmlformats.org/officeDocument/2006/relationships/chart" Target="../charts/chart27.xml"/><Relationship Id="rId7" Type="http://schemas.openxmlformats.org/officeDocument/2006/relationships/chart" Target="../charts/chart28.xml"/><Relationship Id="rId8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390525</xdr:colOff>
      <xdr:row>83</xdr:row>
      <xdr:rowOff>180975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24</xdr:col>
      <xdr:colOff>1133475</xdr:colOff>
      <xdr:row>70</xdr:row>
      <xdr:rowOff>85725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21</xdr:col>
      <xdr:colOff>876300</xdr:colOff>
      <xdr:row>97</xdr:row>
      <xdr:rowOff>190500</xdr:rowOff>
    </xdr:from>
    <xdr:ext cx="10810875" cy="62865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21</xdr:col>
      <xdr:colOff>1114425</xdr:colOff>
      <xdr:row>70</xdr:row>
      <xdr:rowOff>219075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991725" cy="618172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32</xdr:row>
      <xdr:rowOff>171450</xdr:rowOff>
    </xdr:from>
    <xdr:ext cx="9991725" cy="618172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65</xdr:row>
      <xdr:rowOff>104775</xdr:rowOff>
    </xdr:from>
    <xdr:ext cx="9991725" cy="618172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98</xdr:row>
      <xdr:rowOff>38100</xdr:rowOff>
    </xdr:from>
    <xdr:ext cx="9991725" cy="618172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131</xdr:row>
      <xdr:rowOff>19050</xdr:rowOff>
    </xdr:from>
    <xdr:ext cx="9991725" cy="618172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400050</xdr:colOff>
      <xdr:row>0</xdr:row>
      <xdr:rowOff>0</xdr:rowOff>
    </xdr:from>
    <xdr:ext cx="9991725" cy="618172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11</xdr:col>
      <xdr:colOff>0</xdr:colOff>
      <xdr:row>32</xdr:row>
      <xdr:rowOff>171450</xdr:rowOff>
    </xdr:from>
    <xdr:ext cx="9991725" cy="618172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11</xdr:col>
      <xdr:colOff>0</xdr:colOff>
      <xdr:row>65</xdr:row>
      <xdr:rowOff>104775</xdr:rowOff>
    </xdr:from>
    <xdr:ext cx="9991725" cy="6181725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11</xdr:col>
      <xdr:colOff>0</xdr:colOff>
      <xdr:row>98</xdr:row>
      <xdr:rowOff>38100</xdr:rowOff>
    </xdr:from>
    <xdr:ext cx="9991725" cy="6181725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11</xdr:col>
      <xdr:colOff>0</xdr:colOff>
      <xdr:row>131</xdr:row>
      <xdr:rowOff>19050</xdr:rowOff>
    </xdr:from>
    <xdr:ext cx="9991725" cy="6181725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96200" cy="4752975"/>
    <xdr:graphicFrame>
      <xdr:nvGraphicFramePr>
        <xdr:cNvPr id="15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47625</xdr:colOff>
      <xdr:row>0</xdr:row>
      <xdr:rowOff>0</xdr:rowOff>
    </xdr:from>
    <xdr:ext cx="7696200" cy="4752975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190500</xdr:rowOff>
    </xdr:from>
    <xdr:ext cx="7696200" cy="4752975"/>
    <xdr:graphicFrame>
      <xdr:nvGraphicFramePr>
        <xdr:cNvPr id="17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942975</xdr:colOff>
      <xdr:row>25</xdr:row>
      <xdr:rowOff>190500</xdr:rowOff>
    </xdr:from>
    <xdr:ext cx="7696200" cy="4752975"/>
    <xdr:graphicFrame>
      <xdr:nvGraphicFramePr>
        <xdr:cNvPr id="18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56</xdr:row>
      <xdr:rowOff>47625</xdr:rowOff>
    </xdr:from>
    <xdr:ext cx="7696200" cy="4752975"/>
    <xdr:graphicFrame>
      <xdr:nvGraphicFramePr>
        <xdr:cNvPr id="19" name="Chart 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866775</xdr:colOff>
      <xdr:row>54</xdr:row>
      <xdr:rowOff>28575</xdr:rowOff>
    </xdr:from>
    <xdr:ext cx="8715375" cy="5438775"/>
    <xdr:graphicFrame>
      <xdr:nvGraphicFramePr>
        <xdr:cNvPr id="20" name="Chart 2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</xdr:col>
      <xdr:colOff>266700</xdr:colOff>
      <xdr:row>92</xdr:row>
      <xdr:rowOff>19050</xdr:rowOff>
    </xdr:from>
    <xdr:ext cx="11791950" cy="6143625"/>
    <xdr:graphicFrame>
      <xdr:nvGraphicFramePr>
        <xdr:cNvPr id="21" name="Chart 2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667750" cy="5353050"/>
    <xdr:graphicFrame>
      <xdr:nvGraphicFramePr>
        <xdr:cNvPr id="22" name="Chart 2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27</xdr:row>
      <xdr:rowOff>161925</xdr:rowOff>
    </xdr:from>
    <xdr:ext cx="8667750" cy="5353050"/>
    <xdr:graphicFrame>
      <xdr:nvGraphicFramePr>
        <xdr:cNvPr id="23" name="Chart 2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55</xdr:row>
      <xdr:rowOff>190500</xdr:rowOff>
    </xdr:from>
    <xdr:ext cx="8667750" cy="5353050"/>
    <xdr:graphicFrame>
      <xdr:nvGraphicFramePr>
        <xdr:cNvPr id="24" name="Chart 2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84</xdr:row>
      <xdr:rowOff>190500</xdr:rowOff>
    </xdr:from>
    <xdr:ext cx="8667750" cy="5353050"/>
    <xdr:graphicFrame>
      <xdr:nvGraphicFramePr>
        <xdr:cNvPr id="25" name="Chart 2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161925</xdr:rowOff>
    </xdr:from>
    <xdr:ext cx="8715375" cy="5353050"/>
    <xdr:graphicFrame>
      <xdr:nvGraphicFramePr>
        <xdr:cNvPr id="26" name="Chart 2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141</xdr:row>
      <xdr:rowOff>200025</xdr:rowOff>
    </xdr:from>
    <xdr:ext cx="8715375" cy="5438775"/>
    <xdr:graphicFrame>
      <xdr:nvGraphicFramePr>
        <xdr:cNvPr id="27" name="Chart 2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9</xdr:col>
      <xdr:colOff>933450</xdr:colOff>
      <xdr:row>0</xdr:row>
      <xdr:rowOff>0</xdr:rowOff>
    </xdr:from>
    <xdr:ext cx="8667750" cy="5353050"/>
    <xdr:graphicFrame>
      <xdr:nvGraphicFramePr>
        <xdr:cNvPr id="28" name="Chart 2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9</xdr:col>
      <xdr:colOff>933450</xdr:colOff>
      <xdr:row>27</xdr:row>
      <xdr:rowOff>171450</xdr:rowOff>
    </xdr:from>
    <xdr:ext cx="8667750" cy="5353050"/>
    <xdr:graphicFrame>
      <xdr:nvGraphicFramePr>
        <xdr:cNvPr id="29" name="Chart 2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9</xdr:col>
      <xdr:colOff>933450</xdr:colOff>
      <xdr:row>55</xdr:row>
      <xdr:rowOff>190500</xdr:rowOff>
    </xdr:from>
    <xdr:ext cx="8620125" cy="5353050"/>
    <xdr:graphicFrame>
      <xdr:nvGraphicFramePr>
        <xdr:cNvPr id="30" name="Chart 3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9</xdr:col>
      <xdr:colOff>942975</xdr:colOff>
      <xdr:row>84</xdr:row>
      <xdr:rowOff>190500</xdr:rowOff>
    </xdr:from>
    <xdr:ext cx="8667750" cy="5353050"/>
    <xdr:graphicFrame>
      <xdr:nvGraphicFramePr>
        <xdr:cNvPr id="31" name="Chart 3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9</xdr:col>
      <xdr:colOff>952500</xdr:colOff>
      <xdr:row>113</xdr:row>
      <xdr:rowOff>161925</xdr:rowOff>
    </xdr:from>
    <xdr:ext cx="8667750" cy="5353050"/>
    <xdr:graphicFrame>
      <xdr:nvGraphicFramePr>
        <xdr:cNvPr id="32" name="Chart 3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26" displayName="test" name="test" id="1">
  <tableColumns count="15">
    <tableColumn name="Column 15" id="1"/>
    <tableColumn name="id" id="2"/>
    <tableColumn name="Active Probes" id="3"/>
    <tableColumn name="PCAP" id="4"/>
    <tableColumn name="T0 - tcpreplay (UTC)" id="5"/>
    <tableColumn name="T1 - S0" id="6"/>
    <tableColumn name="T1 - S1" id="7"/>
    <tableColumn name="T1 -S2" id="8"/>
    <tableColumn name="T1 - S3" id="9"/>
    <tableColumn name="T1 - S4" id="10"/>
    <tableColumn name="T2 - S0" id="11"/>
    <tableColumn name="T2 - S1" id="12"/>
    <tableColumn name="T2 - S2" id="13"/>
    <tableColumn name="T2 - S3" id="14"/>
    <tableColumn name="T2 - S4" id="15"/>
  </tableColumns>
  <tableStyleInfo name="Results-style" showColumnStripes="0" showFirstColumn="1" showLastColumn="1" showRowStripes="1"/>
</table>
</file>

<file path=xl/tables/table2.xml><?xml version="1.0" encoding="utf-8"?>
<table xmlns="http://schemas.openxmlformats.org/spreadsheetml/2006/main" ref="T2:AH27" displayName="Latencies" name="Latencies" id="2">
  <tableColumns count="15">
    <tableColumn name="Probe Latency - S0" id="1"/>
    <tableColumn name="Probe Latency - S1" id="2"/>
    <tableColumn name="Probe Latency - S2" id="3"/>
    <tableColumn name="Probe Latency - S3" id="4"/>
    <tableColumn name="Probe Latency - S4" id="5"/>
    <tableColumn name="Indexing Latency - S0" id="6"/>
    <tableColumn name="Indexing Latency - S1" id="7"/>
    <tableColumn name="Indexing Latency - S2" id="8"/>
    <tableColumn name="Indexing Latency - S3" id="9"/>
    <tableColumn name="Indexing Latency - S4" id="10"/>
    <tableColumn name="Total Latency - S0" id="11"/>
    <tableColumn name="Total Latency - S1" id="12"/>
    <tableColumn name="Total Latency - S2" id="13"/>
    <tableColumn name="Total Latency - S3" id="14"/>
    <tableColumn name="Total Latency - S4" id="15"/>
  </tableColumns>
  <tableStyleInfo name="Results-style 2" showColumnStripes="0" showFirstColumn="1" showLastColumn="1" showRowStripes="1"/>
</table>
</file>

<file path=xl/tables/table3.xml><?xml version="1.0" encoding="utf-8"?>
<table xmlns="http://schemas.openxmlformats.org/spreadsheetml/2006/main" ref="A34:J59" displayName="Averages_of_total_latencies_between_probes" name="Averages_of_total_latencies_between_probes" id="3">
  <tableColumns count="10">
    <tableColumn name="id" id="1"/>
    <tableColumn name="Total Latency - S0" id="2"/>
    <tableColumn name="Total Latency - S1" id="3"/>
    <tableColumn name="Total Latency - S2" id="4"/>
    <tableColumn name="Total Latency - S3" id="5"/>
    <tableColumn name="Total Latency - S4" id="6"/>
    <tableColumn name="Average Latency" id="7"/>
    <tableColumn name="Min Latency" id="8"/>
    <tableColumn name="Max Latency" id="9"/>
    <tableColumn name="Standard Deviation " id="10"/>
  </tableColumns>
  <tableStyleInfo name="Results-style 3" showColumnStripes="0" showFirstColumn="1" showLastColumn="1" showRowStripes="1"/>
</table>
</file>

<file path=xl/tables/table4.xml><?xml version="1.0" encoding="utf-8"?>
<table xmlns="http://schemas.openxmlformats.org/spreadsheetml/2006/main" ref="L35:U60" displayName="Probe_Usage" name="Probe_Usage" id="4">
  <tableColumns count="10">
    <tableColumn name="Probe CPU - S0" id="1"/>
    <tableColumn name="Probe CPU - S1" id="2"/>
    <tableColumn name="Probe CPU  - S2" id="3"/>
    <tableColumn name="Probe CPU - S3" id="4"/>
    <tableColumn name="Probe CPU - S4" id="5"/>
    <tableColumn name="Probe RAM (MiB) - S0" id="6"/>
    <tableColumn name="Probe RAM (MiB) - S1" id="7"/>
    <tableColumn name="Probe RAM (MiB) - S2" id="8"/>
    <tableColumn name="Probe RAM (MiB) - S3" id="9"/>
    <tableColumn name="Probe RAM (MiB) - S4" id="10"/>
  </tableColumns>
  <tableStyleInfo name="Results-style 4" showColumnStripes="0" showFirstColumn="1" showLastColumn="1" showRowStripes="1"/>
</table>
</file>

<file path=xl/tables/table5.xml><?xml version="1.0" encoding="utf-8"?>
<table xmlns="http://schemas.openxmlformats.org/spreadsheetml/2006/main" ref="X35:AB60" displayName="Message_Broker_Consums" name="Message_Broker_Consums" id="5">
  <tableColumns count="5">
    <tableColumn name="id" id="1"/>
    <tableColumn name="CPU Kafka (%)" id="2"/>
    <tableColumn name="Ram Kafka (MiB)" id="3"/>
    <tableColumn name="CPU Logstash (%)" id="4"/>
    <tableColumn name="RAM Logstash (MiB)" id="5"/>
  </tableColumns>
  <tableStyleInfo name="Results-style 5" showColumnStripes="0" showFirstColumn="1" showLastColumn="1" showRowStripes="1"/>
</table>
</file>

<file path=xl/tables/table6.xml><?xml version="1.0" encoding="utf-8"?>
<table xmlns="http://schemas.openxmlformats.org/spreadsheetml/2006/main" ref="AD35:AG60" displayName="Central_Node_Usage" name="Central_Node_Usage" id="6">
  <tableColumns count="4">
    <tableColumn name="CPU Opensearch Node 1 (%)" id="1"/>
    <tableColumn name="RAM Opensearch Node 1 (MiB)" id="2"/>
    <tableColumn name="CPU Opensearch Node 2" id="3"/>
    <tableColumn name="RAM Opensearch Node 2 (MiB)" id="4"/>
  </tableColumns>
  <tableStyleInfo name="Results-style 6" showColumnStripes="0" showFirstColumn="1" showLastColumn="1" showRowStripes="1"/>
</table>
</file>

<file path=xl/tables/table7.xml><?xml version="1.0" encoding="utf-8"?>
<table xmlns="http://schemas.openxmlformats.org/spreadsheetml/2006/main" ref="A65:J90" displayName="Average_Latency_Between_Probes" name="Average_Latency_Between_Probes" id="7">
  <tableColumns count="10">
    <tableColumn name="Id " id="1"/>
    <tableColumn name="Probe Latency - S0" id="2"/>
    <tableColumn name="Probe Latency - S1" id="3"/>
    <tableColumn name="Probe Latency - S2" id="4"/>
    <tableColumn name="Probe Latency - S3" id="5"/>
    <tableColumn name="Probe Latency - S4" id="6"/>
    <tableColumn name="Average Latency" id="7"/>
    <tableColumn name="Min Latency" id="8"/>
    <tableColumn name="Max Latency" id="9"/>
    <tableColumn name="Standard Deviation " id="10"/>
  </tableColumns>
  <tableStyleInfo name="Results-style 7" showColumnStripes="0" showFirstColumn="1" showLastColumn="1" showRowStripes="1"/>
</table>
</file>

<file path=xl/tables/table8.xml><?xml version="1.0" encoding="utf-8"?>
<table xmlns="http://schemas.openxmlformats.org/spreadsheetml/2006/main" ref="L65:P70" displayName="Average_total_latencies_per_probe" name="Average_total_latencies_per_probe" id="8">
  <tableColumns count="5">
    <tableColumn name="Probe" id="1"/>
    <tableColumn name="Average" id="2"/>
    <tableColumn name="Min" id="3"/>
    <tableColumn name="Max" id="4"/>
    <tableColumn name="Standard Deviation" id="5"/>
  </tableColumns>
  <tableStyleInfo name="Results-style 8" showColumnStripes="0" showFirstColumn="1" showLastColumn="1" showRowStripes="1"/>
</table>
</file>

<file path=xl/tables/table9.xml><?xml version="1.0" encoding="utf-8"?>
<table xmlns="http://schemas.openxmlformats.org/spreadsheetml/2006/main" ref="L73:P78" displayName="Average_indexing_latencies_per_probe" name="Average_indexing_latencies_per_probe" id="9">
  <tableColumns count="5">
    <tableColumn name="Probe" id="1"/>
    <tableColumn name="Average" id="2"/>
    <tableColumn name="Min" id="3"/>
    <tableColumn name="Max" id="4"/>
    <tableColumn name="Standard Deviation" id="5"/>
  </tableColumns>
  <tableStyleInfo name="Results-style 9" showColumnStripes="0" showFirstColumn="1" showLastColumn="1" showRowStripes="1"/>
</table>
</file>

<file path=xl/tables/table10.xml><?xml version="1.0" encoding="utf-8"?>
<table xmlns="http://schemas.openxmlformats.org/spreadsheetml/2006/main" ref="L81:P86" displayName="Average_Probe_Latencies_by_Probe" name="Average_Probe_Latencies_by_Probe" id="10">
  <tableColumns count="5">
    <tableColumn name="Probe" id="1"/>
    <tableColumn name="Average" id="2"/>
    <tableColumn name="Min" id="3"/>
    <tableColumn name="Max" id="4"/>
    <tableColumn name="Standard Deviation" id="5"/>
  </tableColumns>
  <tableStyleInfo name="Results-style 10" showColumnStripes="0" showFirstColumn="1" showLastColumn="1" showRowStripes="1"/>
</table>
</file>

<file path=xl/tables/table11.xml><?xml version="1.0" encoding="utf-8"?>
<table xmlns="http://schemas.openxmlformats.org/spreadsheetml/2006/main" ref="A94:J119" displayName="Average_indexing_latencies_between_probes" name="Average_indexing_latencies_between_probes" id="11">
  <tableColumns count="10">
    <tableColumn name="id" id="1"/>
    <tableColumn name="Indexing Latency  - S0" id="2"/>
    <tableColumn name="Indexing Latency - S1" id="3"/>
    <tableColumn name="Indexing Latency - S2" id="4"/>
    <tableColumn name="Indexing Latency - S3" id="5"/>
    <tableColumn name="Indexing Latency - S4" id="6"/>
    <tableColumn name="Average Latency" id="7"/>
    <tableColumn name="Min Latency" id="8"/>
    <tableColumn name="Max Latency" id="9"/>
    <tableColumn name="Standard Deviation " id="10"/>
  </tableColumns>
  <tableStyleInfo name="Results-style 11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0" Type="http://schemas.openxmlformats.org/officeDocument/2006/relationships/table" Target="../tables/table8.xml"/><Relationship Id="rId22" Type="http://schemas.openxmlformats.org/officeDocument/2006/relationships/table" Target="../tables/table10.xml"/><Relationship Id="rId21" Type="http://schemas.openxmlformats.org/officeDocument/2006/relationships/table" Target="../tables/table9.xml"/><Relationship Id="rId13" Type="http://schemas.openxmlformats.org/officeDocument/2006/relationships/table" Target="../tables/table1.xml"/><Relationship Id="rId23" Type="http://schemas.openxmlformats.org/officeDocument/2006/relationships/table" Target="../tables/table11.xm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17" Type="http://schemas.openxmlformats.org/officeDocument/2006/relationships/table" Target="../tables/table5.xml"/><Relationship Id="rId16" Type="http://schemas.openxmlformats.org/officeDocument/2006/relationships/table" Target="../tables/table4.xml"/><Relationship Id="rId19" Type="http://schemas.openxmlformats.org/officeDocument/2006/relationships/table" Target="../tables/table7.xml"/><Relationship Id="rId18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75"/>
    <col customWidth="1" min="3" max="3" width="21.25"/>
    <col customWidth="1" min="4" max="4" width="25.25"/>
    <col customWidth="1" min="5" max="5" width="23.5"/>
    <col customWidth="1" min="6" max="6" width="25.63"/>
    <col customWidth="1" min="7" max="11" width="24.5"/>
    <col customWidth="1" min="12" max="14" width="24.25"/>
    <col customWidth="1" min="15" max="15" width="22.13"/>
    <col customWidth="1" min="16" max="16" width="18.63"/>
    <col customWidth="1" min="17" max="17" width="19.38"/>
    <col customWidth="1" min="18" max="18" width="17.75"/>
    <col customWidth="1" min="19" max="19" width="18.38"/>
    <col customWidth="1" min="20" max="20" width="20.13"/>
    <col customWidth="1" min="21" max="21" width="23.25"/>
    <col customWidth="1" min="22" max="22" width="29.25"/>
    <col customWidth="1" min="23" max="23" width="29.63"/>
    <col customWidth="1" min="24" max="25" width="30.0"/>
    <col customWidth="1" min="26" max="26" width="31.13"/>
    <col customWidth="1" min="27" max="27" width="29.0"/>
    <col customWidth="1" min="28" max="28" width="21.88"/>
    <col customWidth="1" min="29" max="29" width="23.63"/>
    <col customWidth="1" min="30" max="30" width="25.88"/>
    <col customWidth="1" min="31" max="31" width="19.13"/>
    <col customWidth="1" min="32" max="34" width="22.38"/>
    <col customWidth="1" min="35" max="36" width="19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2.5" customHeight="1">
      <c r="A2" s="3"/>
      <c r="B2" s="3">
        <v>1.0</v>
      </c>
      <c r="C2" s="3">
        <v>5.0</v>
      </c>
      <c r="D2" s="4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19</v>
      </c>
      <c r="J2" s="5" t="s">
        <v>20</v>
      </c>
      <c r="K2" s="5" t="s">
        <v>21</v>
      </c>
      <c r="L2" s="5" t="s">
        <v>22</v>
      </c>
      <c r="M2" s="5" t="s">
        <v>23</v>
      </c>
      <c r="N2" s="5" t="s">
        <v>24</v>
      </c>
      <c r="O2" s="5" t="s">
        <v>25</v>
      </c>
      <c r="T2" s="6" t="s">
        <v>26</v>
      </c>
      <c r="U2" s="6" t="s">
        <v>27</v>
      </c>
      <c r="V2" s="7" t="s">
        <v>28</v>
      </c>
      <c r="W2" s="7" t="s">
        <v>29</v>
      </c>
      <c r="X2" s="7" t="s">
        <v>30</v>
      </c>
      <c r="Y2" s="8" t="s">
        <v>31</v>
      </c>
      <c r="Z2" s="7" t="s">
        <v>32</v>
      </c>
      <c r="AA2" s="7" t="s">
        <v>33</v>
      </c>
      <c r="AB2" s="7" t="s">
        <v>34</v>
      </c>
      <c r="AC2" s="7" t="s">
        <v>35</v>
      </c>
      <c r="AD2" s="8" t="s">
        <v>36</v>
      </c>
      <c r="AE2" s="7" t="s">
        <v>37</v>
      </c>
      <c r="AF2" s="7" t="s">
        <v>38</v>
      </c>
      <c r="AG2" s="7" t="s">
        <v>39</v>
      </c>
      <c r="AH2" s="7" t="s">
        <v>40</v>
      </c>
    </row>
    <row r="3" ht="22.5" customHeight="1">
      <c r="A3" s="3"/>
      <c r="B3" s="3">
        <v>2.0</v>
      </c>
      <c r="C3" s="3">
        <v>5.0</v>
      </c>
      <c r="D3" s="4" t="s">
        <v>41</v>
      </c>
      <c r="E3" s="5" t="s">
        <v>42</v>
      </c>
      <c r="F3" s="5" t="s">
        <v>43</v>
      </c>
      <c r="G3" s="5" t="s">
        <v>44</v>
      </c>
      <c r="H3" s="5" t="s">
        <v>45</v>
      </c>
      <c r="I3" s="5" t="s">
        <v>46</v>
      </c>
      <c r="J3" s="5" t="s">
        <v>47</v>
      </c>
      <c r="K3" s="5" t="s">
        <v>48</v>
      </c>
      <c r="L3" s="5" t="s">
        <v>49</v>
      </c>
      <c r="M3" s="5" t="s">
        <v>50</v>
      </c>
      <c r="N3" s="5" t="s">
        <v>51</v>
      </c>
      <c r="O3" s="5" t="s">
        <v>52</v>
      </c>
      <c r="T3" s="9" t="s">
        <v>53</v>
      </c>
      <c r="U3" s="9" t="s">
        <v>54</v>
      </c>
      <c r="V3" s="9" t="s">
        <v>55</v>
      </c>
      <c r="W3" s="9" t="s">
        <v>55</v>
      </c>
      <c r="X3" s="10" t="s">
        <v>56</v>
      </c>
      <c r="Y3" s="9" t="s">
        <v>57</v>
      </c>
      <c r="Z3" s="11" t="s">
        <v>58</v>
      </c>
      <c r="AA3" s="11" t="s">
        <v>59</v>
      </c>
      <c r="AB3" s="11" t="s">
        <v>60</v>
      </c>
      <c r="AC3" s="12" t="s">
        <v>61</v>
      </c>
      <c r="AD3" s="13">
        <v>1.130546</v>
      </c>
      <c r="AE3" s="11" t="s">
        <v>62</v>
      </c>
      <c r="AF3" s="11" t="s">
        <v>63</v>
      </c>
      <c r="AG3" s="11" t="s">
        <v>64</v>
      </c>
      <c r="AH3" s="13">
        <v>1.130095</v>
      </c>
    </row>
    <row r="4" ht="22.5" customHeight="1">
      <c r="A4" s="3"/>
      <c r="B4" s="3">
        <v>3.0</v>
      </c>
      <c r="C4" s="3">
        <v>5.0</v>
      </c>
      <c r="D4" s="4" t="s">
        <v>15</v>
      </c>
      <c r="E4" s="5" t="s">
        <v>65</v>
      </c>
      <c r="F4" s="5" t="s">
        <v>66</v>
      </c>
      <c r="G4" s="5" t="s">
        <v>66</v>
      </c>
      <c r="H4" s="5" t="s">
        <v>67</v>
      </c>
      <c r="I4" s="5" t="s">
        <v>66</v>
      </c>
      <c r="J4" s="5" t="s">
        <v>68</v>
      </c>
      <c r="K4" s="5" t="s">
        <v>69</v>
      </c>
      <c r="L4" s="5" t="s">
        <v>70</v>
      </c>
      <c r="M4" s="5" t="s">
        <v>71</v>
      </c>
      <c r="N4" s="5" t="s">
        <v>72</v>
      </c>
      <c r="O4" s="5" t="s">
        <v>73</v>
      </c>
      <c r="T4" s="9" t="s">
        <v>74</v>
      </c>
      <c r="U4" s="9" t="s">
        <v>75</v>
      </c>
      <c r="V4" s="9" t="s">
        <v>76</v>
      </c>
      <c r="W4" s="9" t="s">
        <v>77</v>
      </c>
      <c r="X4" s="10" t="s">
        <v>78</v>
      </c>
      <c r="Y4" s="9" t="s">
        <v>79</v>
      </c>
      <c r="Z4" s="11" t="s">
        <v>80</v>
      </c>
      <c r="AA4" s="11" t="s">
        <v>81</v>
      </c>
      <c r="AB4" s="11" t="s">
        <v>82</v>
      </c>
      <c r="AC4" s="12" t="s">
        <v>83</v>
      </c>
      <c r="AD4" s="13">
        <v>11.298781</v>
      </c>
      <c r="AE4" s="11" t="s">
        <v>84</v>
      </c>
      <c r="AF4" s="11" t="s">
        <v>85</v>
      </c>
      <c r="AG4" s="11" t="s">
        <v>86</v>
      </c>
      <c r="AH4" s="13">
        <v>11.417393</v>
      </c>
    </row>
    <row r="5" ht="22.5" customHeight="1">
      <c r="A5" s="3"/>
      <c r="B5" s="3">
        <v>4.0</v>
      </c>
      <c r="C5" s="3">
        <v>5.0</v>
      </c>
      <c r="D5" s="4" t="s">
        <v>15</v>
      </c>
      <c r="E5" s="5" t="s">
        <v>87</v>
      </c>
      <c r="F5" s="5" t="s">
        <v>88</v>
      </c>
      <c r="G5" s="5" t="s">
        <v>88</v>
      </c>
      <c r="H5" s="5" t="s">
        <v>88</v>
      </c>
      <c r="I5" s="5" t="s">
        <v>88</v>
      </c>
      <c r="J5" s="5" t="s">
        <v>88</v>
      </c>
      <c r="K5" s="5" t="s">
        <v>89</v>
      </c>
      <c r="L5" s="5" t="s">
        <v>90</v>
      </c>
      <c r="M5" s="5" t="s">
        <v>91</v>
      </c>
      <c r="N5" s="5" t="s">
        <v>92</v>
      </c>
      <c r="O5" s="5" t="s">
        <v>93</v>
      </c>
      <c r="T5" s="9" t="s">
        <v>94</v>
      </c>
      <c r="U5" s="9" t="s">
        <v>94</v>
      </c>
      <c r="V5" s="9" t="s">
        <v>95</v>
      </c>
      <c r="W5" s="9" t="s">
        <v>94</v>
      </c>
      <c r="X5" s="10" t="s">
        <v>96</v>
      </c>
      <c r="Y5" s="9" t="s">
        <v>97</v>
      </c>
      <c r="Z5" s="11" t="s">
        <v>98</v>
      </c>
      <c r="AA5" s="11" t="s">
        <v>99</v>
      </c>
      <c r="AB5" s="11" t="s">
        <v>100</v>
      </c>
      <c r="AC5" s="12" t="s">
        <v>101</v>
      </c>
      <c r="AD5" s="13">
        <v>101.549462</v>
      </c>
      <c r="AE5" s="11" t="s">
        <v>102</v>
      </c>
      <c r="AF5" s="11" t="s">
        <v>103</v>
      </c>
      <c r="AG5" s="11" t="s">
        <v>104</v>
      </c>
      <c r="AH5" s="13">
        <v>101.272651</v>
      </c>
    </row>
    <row r="6" ht="22.5" customHeight="1">
      <c r="A6" s="3"/>
      <c r="B6" s="3">
        <v>5.0</v>
      </c>
      <c r="C6" s="3">
        <v>5.0</v>
      </c>
      <c r="D6" s="4" t="s">
        <v>41</v>
      </c>
      <c r="E6" s="5" t="s">
        <v>105</v>
      </c>
      <c r="F6" s="5" t="s">
        <v>106</v>
      </c>
      <c r="G6" s="5" t="s">
        <v>107</v>
      </c>
      <c r="H6" s="5" t="s">
        <v>108</v>
      </c>
      <c r="I6" s="5" t="s">
        <v>108</v>
      </c>
      <c r="J6" s="5" t="s">
        <v>106</v>
      </c>
      <c r="K6" s="5" t="s">
        <v>109</v>
      </c>
      <c r="L6" s="5" t="s">
        <v>110</v>
      </c>
      <c r="M6" s="5" t="s">
        <v>111</v>
      </c>
      <c r="N6" s="5" t="s">
        <v>112</v>
      </c>
      <c r="O6" s="5" t="s">
        <v>113</v>
      </c>
      <c r="T6" s="9" t="s">
        <v>114</v>
      </c>
      <c r="U6" s="9" t="s">
        <v>114</v>
      </c>
      <c r="V6" s="9" t="s">
        <v>114</v>
      </c>
      <c r="W6" s="9" t="s">
        <v>114</v>
      </c>
      <c r="X6" s="10" t="s">
        <v>114</v>
      </c>
      <c r="Y6" s="9" t="s">
        <v>115</v>
      </c>
      <c r="Z6" s="11" t="s">
        <v>116</v>
      </c>
      <c r="AA6" s="11" t="s">
        <v>117</v>
      </c>
      <c r="AB6" s="11" t="s">
        <v>118</v>
      </c>
      <c r="AC6" s="12" t="s">
        <v>119</v>
      </c>
      <c r="AD6" s="13">
        <v>119.302786</v>
      </c>
      <c r="AE6" s="11" t="s">
        <v>120</v>
      </c>
      <c r="AF6" s="11" t="s">
        <v>121</v>
      </c>
      <c r="AG6" s="11" t="s">
        <v>122</v>
      </c>
      <c r="AH6" s="13">
        <v>118.893182</v>
      </c>
    </row>
    <row r="7" ht="22.5" customHeight="1">
      <c r="A7" s="3"/>
      <c r="B7" s="3">
        <v>6.0</v>
      </c>
      <c r="C7" s="3">
        <v>5.0</v>
      </c>
      <c r="D7" s="4" t="s">
        <v>41</v>
      </c>
      <c r="E7" s="5" t="s">
        <v>123</v>
      </c>
      <c r="F7" s="5" t="s">
        <v>124</v>
      </c>
      <c r="G7" s="5" t="s">
        <v>124</v>
      </c>
      <c r="H7" s="5" t="s">
        <v>124</v>
      </c>
      <c r="I7" s="5" t="s">
        <v>124</v>
      </c>
      <c r="J7" s="5" t="s">
        <v>124</v>
      </c>
      <c r="K7" s="5" t="s">
        <v>125</v>
      </c>
      <c r="L7" s="5" t="s">
        <v>126</v>
      </c>
      <c r="M7" s="5" t="s">
        <v>127</v>
      </c>
      <c r="N7" s="5" t="s">
        <v>128</v>
      </c>
      <c r="O7" s="5" t="s">
        <v>129</v>
      </c>
      <c r="T7" s="9" t="s">
        <v>130</v>
      </c>
      <c r="U7" s="9" t="s">
        <v>131</v>
      </c>
      <c r="V7" s="9" t="s">
        <v>132</v>
      </c>
      <c r="W7" s="9" t="s">
        <v>132</v>
      </c>
      <c r="X7" s="10" t="s">
        <v>130</v>
      </c>
      <c r="Y7" s="9" t="s">
        <v>133</v>
      </c>
      <c r="Z7" s="11" t="s">
        <v>134</v>
      </c>
      <c r="AA7" s="11" t="s">
        <v>135</v>
      </c>
      <c r="AB7" s="11" t="s">
        <v>136</v>
      </c>
      <c r="AC7" s="12" t="s">
        <v>137</v>
      </c>
      <c r="AD7" s="13">
        <v>120.004772</v>
      </c>
      <c r="AE7" s="11" t="s">
        <v>138</v>
      </c>
      <c r="AF7" s="11" t="s">
        <v>139</v>
      </c>
      <c r="AG7" s="11" t="s">
        <v>140</v>
      </c>
      <c r="AH7" s="13">
        <v>120.13473</v>
      </c>
    </row>
    <row r="8" ht="22.5" customHeight="1">
      <c r="A8" s="3"/>
      <c r="B8" s="3">
        <v>7.0</v>
      </c>
      <c r="C8" s="3">
        <v>5.0</v>
      </c>
      <c r="D8" s="4" t="s">
        <v>41</v>
      </c>
      <c r="E8" s="5" t="s">
        <v>141</v>
      </c>
      <c r="F8" s="5" t="s">
        <v>142</v>
      </c>
      <c r="G8" s="5" t="s">
        <v>142</v>
      </c>
      <c r="H8" s="5" t="s">
        <v>143</v>
      </c>
      <c r="I8" s="5" t="s">
        <v>144</v>
      </c>
      <c r="J8" s="5" t="s">
        <v>142</v>
      </c>
      <c r="K8" s="5" t="s">
        <v>145</v>
      </c>
      <c r="L8" s="5" t="s">
        <v>146</v>
      </c>
      <c r="M8" s="5" t="s">
        <v>147</v>
      </c>
      <c r="N8" s="5" t="s">
        <v>148</v>
      </c>
      <c r="O8" s="5" t="s">
        <v>149</v>
      </c>
      <c r="T8" s="9" t="s">
        <v>150</v>
      </c>
      <c r="U8" s="9" t="s">
        <v>150</v>
      </c>
      <c r="V8" s="9" t="s">
        <v>150</v>
      </c>
      <c r="W8" s="9" t="s">
        <v>150</v>
      </c>
      <c r="X8" s="10" t="s">
        <v>150</v>
      </c>
      <c r="Y8" s="9" t="s">
        <v>151</v>
      </c>
      <c r="Z8" s="11" t="s">
        <v>152</v>
      </c>
      <c r="AA8" s="11" t="s">
        <v>153</v>
      </c>
      <c r="AB8" s="11" t="s">
        <v>154</v>
      </c>
      <c r="AC8" s="12" t="s">
        <v>155</v>
      </c>
      <c r="AD8" s="13">
        <v>282.440231</v>
      </c>
      <c r="AE8" s="11" t="s">
        <v>156</v>
      </c>
      <c r="AF8" s="11" t="s">
        <v>157</v>
      </c>
      <c r="AG8" s="11" t="s">
        <v>158</v>
      </c>
      <c r="AH8" s="13">
        <v>282.403464</v>
      </c>
    </row>
    <row r="9" ht="22.5" customHeight="1">
      <c r="A9" s="3"/>
      <c r="B9" s="3">
        <v>8.0</v>
      </c>
      <c r="C9" s="3">
        <v>5.0</v>
      </c>
      <c r="D9" s="4" t="s">
        <v>41</v>
      </c>
      <c r="E9" s="5" t="s">
        <v>159</v>
      </c>
      <c r="F9" s="5" t="s">
        <v>160</v>
      </c>
      <c r="G9" s="5" t="s">
        <v>160</v>
      </c>
      <c r="H9" s="5" t="s">
        <v>161</v>
      </c>
      <c r="I9" s="5" t="s">
        <v>162</v>
      </c>
      <c r="J9" s="5" t="s">
        <v>163</v>
      </c>
      <c r="K9" s="5" t="s">
        <v>164</v>
      </c>
      <c r="L9" s="5" t="s">
        <v>165</v>
      </c>
      <c r="M9" s="5" t="s">
        <v>166</v>
      </c>
      <c r="N9" s="5" t="s">
        <v>167</v>
      </c>
      <c r="O9" s="5" t="s">
        <v>168</v>
      </c>
      <c r="T9" s="9" t="s">
        <v>169</v>
      </c>
      <c r="U9" s="9" t="s">
        <v>169</v>
      </c>
      <c r="V9" s="9" t="s">
        <v>170</v>
      </c>
      <c r="W9" s="9" t="s">
        <v>171</v>
      </c>
      <c r="X9" s="10" t="s">
        <v>169</v>
      </c>
      <c r="Y9" s="9" t="s">
        <v>172</v>
      </c>
      <c r="Z9" s="11" t="s">
        <v>173</v>
      </c>
      <c r="AA9" s="11" t="s">
        <v>174</v>
      </c>
      <c r="AB9" s="11" t="s">
        <v>175</v>
      </c>
      <c r="AC9" s="12" t="s">
        <v>176</v>
      </c>
      <c r="AD9" s="13">
        <v>400.101627</v>
      </c>
      <c r="AE9" s="11" t="s">
        <v>177</v>
      </c>
      <c r="AF9" s="11" t="s">
        <v>178</v>
      </c>
      <c r="AG9" s="11" t="s">
        <v>179</v>
      </c>
      <c r="AH9" s="13">
        <v>400.660225</v>
      </c>
    </row>
    <row r="10" ht="22.5" customHeight="1">
      <c r="A10" s="3"/>
      <c r="B10" s="3">
        <v>9.0</v>
      </c>
      <c r="C10" s="3">
        <v>5.0</v>
      </c>
      <c r="D10" s="4" t="s">
        <v>15</v>
      </c>
      <c r="E10" s="5" t="s">
        <v>180</v>
      </c>
      <c r="F10" s="5" t="s">
        <v>181</v>
      </c>
      <c r="G10" s="5" t="s">
        <v>182</v>
      </c>
      <c r="H10" s="5" t="s">
        <v>182</v>
      </c>
      <c r="I10" s="5" t="s">
        <v>183</v>
      </c>
      <c r="J10" s="5" t="s">
        <v>182</v>
      </c>
      <c r="K10" s="5" t="s">
        <v>184</v>
      </c>
      <c r="L10" s="5" t="s">
        <v>185</v>
      </c>
      <c r="M10" s="5" t="s">
        <v>186</v>
      </c>
      <c r="N10" s="5" t="s">
        <v>187</v>
      </c>
      <c r="O10" s="5" t="s">
        <v>188</v>
      </c>
      <c r="T10" s="9" t="s">
        <v>189</v>
      </c>
      <c r="U10" s="9" t="s">
        <v>189</v>
      </c>
      <c r="V10" s="9" t="s">
        <v>190</v>
      </c>
      <c r="W10" s="9" t="s">
        <v>191</v>
      </c>
      <c r="X10" s="10" t="s">
        <v>192</v>
      </c>
      <c r="Y10" s="9" t="s">
        <v>193</v>
      </c>
      <c r="Z10" s="11" t="s">
        <v>194</v>
      </c>
      <c r="AA10" s="11" t="s">
        <v>195</v>
      </c>
      <c r="AB10" s="11" t="s">
        <v>196</v>
      </c>
      <c r="AC10" s="12" t="s">
        <v>197</v>
      </c>
      <c r="AD10" s="13">
        <v>560.715923</v>
      </c>
      <c r="AE10" s="11" t="s">
        <v>198</v>
      </c>
      <c r="AF10" s="11" t="s">
        <v>199</v>
      </c>
      <c r="AG10" s="11" t="s">
        <v>200</v>
      </c>
      <c r="AH10" s="13">
        <v>560.71626</v>
      </c>
    </row>
    <row r="11" ht="22.5" customHeight="1">
      <c r="A11" s="3"/>
      <c r="B11" s="3">
        <v>10.0</v>
      </c>
      <c r="C11" s="3">
        <v>5.0</v>
      </c>
      <c r="D11" s="4" t="s">
        <v>15</v>
      </c>
      <c r="E11" s="5" t="s">
        <v>201</v>
      </c>
      <c r="F11" s="5" t="s">
        <v>202</v>
      </c>
      <c r="G11" s="5" t="s">
        <v>202</v>
      </c>
      <c r="H11" s="5" t="s">
        <v>202</v>
      </c>
      <c r="I11" s="5" t="s">
        <v>202</v>
      </c>
      <c r="J11" s="5" t="s">
        <v>203</v>
      </c>
      <c r="K11" s="5" t="s">
        <v>204</v>
      </c>
      <c r="L11" s="5" t="s">
        <v>205</v>
      </c>
      <c r="M11" s="5" t="s">
        <v>206</v>
      </c>
      <c r="N11" s="5" t="s">
        <v>207</v>
      </c>
      <c r="O11" s="5" t="s">
        <v>208</v>
      </c>
      <c r="T11" s="9" t="s">
        <v>209</v>
      </c>
      <c r="U11" s="9" t="s">
        <v>210</v>
      </c>
      <c r="V11" s="9" t="s">
        <v>210</v>
      </c>
      <c r="W11" s="9" t="s">
        <v>211</v>
      </c>
      <c r="X11" s="10" t="s">
        <v>210</v>
      </c>
      <c r="Y11" s="9" t="s">
        <v>212</v>
      </c>
      <c r="Z11" s="11" t="s">
        <v>213</v>
      </c>
      <c r="AA11" s="11" t="s">
        <v>214</v>
      </c>
      <c r="AB11" s="11" t="s">
        <v>215</v>
      </c>
      <c r="AC11" s="12" t="s">
        <v>216</v>
      </c>
      <c r="AD11" s="13">
        <v>5.924327</v>
      </c>
      <c r="AE11" s="11" t="s">
        <v>217</v>
      </c>
      <c r="AF11" s="11" t="s">
        <v>218</v>
      </c>
      <c r="AG11" s="11" t="s">
        <v>219</v>
      </c>
      <c r="AH11" s="13">
        <v>4.956592</v>
      </c>
    </row>
    <row r="12" ht="22.5" customHeight="1">
      <c r="A12" s="3"/>
      <c r="B12" s="3">
        <v>11.0</v>
      </c>
      <c r="C12" s="3">
        <v>5.0</v>
      </c>
      <c r="D12" s="4" t="s">
        <v>15</v>
      </c>
      <c r="E12" s="5" t="s">
        <v>220</v>
      </c>
      <c r="F12" s="5" t="s">
        <v>221</v>
      </c>
      <c r="G12" s="5" t="s">
        <v>221</v>
      </c>
      <c r="H12" s="5" t="s">
        <v>222</v>
      </c>
      <c r="I12" s="5" t="s">
        <v>221</v>
      </c>
      <c r="J12" s="5" t="s">
        <v>221</v>
      </c>
      <c r="K12" s="5" t="s">
        <v>223</v>
      </c>
      <c r="L12" s="5" t="s">
        <v>224</v>
      </c>
      <c r="M12" s="5" t="s">
        <v>225</v>
      </c>
      <c r="N12" s="5" t="s">
        <v>226</v>
      </c>
      <c r="O12" s="5" t="s">
        <v>227</v>
      </c>
      <c r="T12" s="9" t="s">
        <v>228</v>
      </c>
      <c r="U12" s="9" t="s">
        <v>228</v>
      </c>
      <c r="V12" s="9" t="s">
        <v>228</v>
      </c>
      <c r="W12" s="9" t="s">
        <v>228</v>
      </c>
      <c r="X12" s="10" t="s">
        <v>229</v>
      </c>
      <c r="Y12" s="9" t="s">
        <v>230</v>
      </c>
      <c r="Z12" s="11" t="s">
        <v>231</v>
      </c>
      <c r="AA12" s="11" t="s">
        <v>232</v>
      </c>
      <c r="AB12" s="11" t="s">
        <v>233</v>
      </c>
      <c r="AC12" s="12" t="s">
        <v>234</v>
      </c>
      <c r="AD12" s="13">
        <v>13.432018</v>
      </c>
      <c r="AE12" s="11" t="s">
        <v>235</v>
      </c>
      <c r="AF12" s="11" t="s">
        <v>236</v>
      </c>
      <c r="AG12" s="11" t="s">
        <v>237</v>
      </c>
      <c r="AH12" s="13">
        <v>12.801721</v>
      </c>
    </row>
    <row r="13" ht="22.5" customHeight="1">
      <c r="A13" s="3"/>
      <c r="B13" s="3">
        <v>12.0</v>
      </c>
      <c r="C13" s="3">
        <v>5.0</v>
      </c>
      <c r="D13" s="4" t="s">
        <v>41</v>
      </c>
      <c r="E13" s="5" t="s">
        <v>238</v>
      </c>
      <c r="F13" s="5" t="s">
        <v>239</v>
      </c>
      <c r="G13" s="5" t="s">
        <v>240</v>
      </c>
      <c r="H13" s="5" t="s">
        <v>239</v>
      </c>
      <c r="I13" s="5" t="s">
        <v>239</v>
      </c>
      <c r="J13" s="5" t="s">
        <v>241</v>
      </c>
      <c r="K13" s="5" t="s">
        <v>242</v>
      </c>
      <c r="L13" s="5" t="s">
        <v>243</v>
      </c>
      <c r="M13" s="5" t="s">
        <v>244</v>
      </c>
      <c r="N13" s="5" t="s">
        <v>245</v>
      </c>
      <c r="O13" s="5" t="s">
        <v>246</v>
      </c>
      <c r="T13" s="9" t="s">
        <v>247</v>
      </c>
      <c r="U13" s="9" t="s">
        <v>247</v>
      </c>
      <c r="V13" s="11" t="s">
        <v>248</v>
      </c>
      <c r="W13" s="11" t="s">
        <v>247</v>
      </c>
      <c r="X13" s="12" t="s">
        <v>247</v>
      </c>
      <c r="Y13" s="11" t="s">
        <v>249</v>
      </c>
      <c r="Z13" s="11" t="s">
        <v>250</v>
      </c>
      <c r="AA13" s="11" t="s">
        <v>251</v>
      </c>
      <c r="AB13" s="11" t="s">
        <v>252</v>
      </c>
      <c r="AC13" s="12" t="s">
        <v>253</v>
      </c>
      <c r="AD13" s="13">
        <v>13.580012</v>
      </c>
      <c r="AE13" s="11" t="s">
        <v>254</v>
      </c>
      <c r="AF13" s="11" t="s">
        <v>255</v>
      </c>
      <c r="AG13" s="11" t="s">
        <v>256</v>
      </c>
      <c r="AH13" s="13">
        <v>13.10782</v>
      </c>
    </row>
    <row r="14" ht="22.5" customHeight="1">
      <c r="A14" s="3"/>
      <c r="B14" s="3">
        <v>13.0</v>
      </c>
      <c r="C14" s="3">
        <v>5.0</v>
      </c>
      <c r="D14" s="4" t="s">
        <v>15</v>
      </c>
      <c r="E14" s="5" t="s">
        <v>257</v>
      </c>
      <c r="F14" s="5" t="s">
        <v>258</v>
      </c>
      <c r="G14" s="5" t="s">
        <v>258</v>
      </c>
      <c r="H14" s="5" t="s">
        <v>258</v>
      </c>
      <c r="I14" s="5" t="s">
        <v>258</v>
      </c>
      <c r="J14" s="5" t="s">
        <v>258</v>
      </c>
      <c r="K14" s="5" t="s">
        <v>259</v>
      </c>
      <c r="L14" s="5" t="s">
        <v>260</v>
      </c>
      <c r="M14" s="5" t="s">
        <v>261</v>
      </c>
      <c r="N14" s="5" t="s">
        <v>262</v>
      </c>
      <c r="O14" s="5" t="s">
        <v>263</v>
      </c>
      <c r="T14" s="9" t="s">
        <v>264</v>
      </c>
      <c r="U14" s="9" t="s">
        <v>265</v>
      </c>
      <c r="V14" s="11" t="s">
        <v>264</v>
      </c>
      <c r="W14" s="11" t="s">
        <v>264</v>
      </c>
      <c r="X14" s="12" t="s">
        <v>266</v>
      </c>
      <c r="Y14" s="11" t="s">
        <v>267</v>
      </c>
      <c r="Z14" s="11" t="s">
        <v>268</v>
      </c>
      <c r="AA14" s="11" t="s">
        <v>269</v>
      </c>
      <c r="AB14" s="11" t="s">
        <v>270</v>
      </c>
      <c r="AC14" s="12" t="s">
        <v>271</v>
      </c>
      <c r="AD14" s="13">
        <v>12.462565</v>
      </c>
      <c r="AE14" s="11" t="s">
        <v>272</v>
      </c>
      <c r="AF14" s="11" t="s">
        <v>273</v>
      </c>
      <c r="AG14" s="11" t="s">
        <v>274</v>
      </c>
      <c r="AH14" s="13">
        <v>11.802224</v>
      </c>
    </row>
    <row r="15" ht="22.5" customHeight="1">
      <c r="A15" s="3"/>
      <c r="B15" s="3">
        <v>14.0</v>
      </c>
      <c r="C15" s="3">
        <v>5.0</v>
      </c>
      <c r="D15" s="4" t="s">
        <v>41</v>
      </c>
      <c r="E15" s="5" t="s">
        <v>275</v>
      </c>
      <c r="F15" s="5" t="s">
        <v>276</v>
      </c>
      <c r="G15" s="5" t="s">
        <v>277</v>
      </c>
      <c r="H15" s="5" t="s">
        <v>276</v>
      </c>
      <c r="I15" s="5" t="s">
        <v>276</v>
      </c>
      <c r="J15" s="5" t="s">
        <v>278</v>
      </c>
      <c r="K15" s="5" t="s">
        <v>279</v>
      </c>
      <c r="L15" s="5" t="s">
        <v>280</v>
      </c>
      <c r="M15" s="5" t="s">
        <v>281</v>
      </c>
      <c r="N15" s="5" t="s">
        <v>282</v>
      </c>
      <c r="O15" s="5" t="s">
        <v>283</v>
      </c>
      <c r="T15" s="9" t="s">
        <v>284</v>
      </c>
      <c r="U15" s="9" t="s">
        <v>284</v>
      </c>
      <c r="V15" s="11" t="s">
        <v>284</v>
      </c>
      <c r="W15" s="11" t="s">
        <v>284</v>
      </c>
      <c r="X15" s="12" t="s">
        <v>284</v>
      </c>
      <c r="Y15" s="11" t="s">
        <v>285</v>
      </c>
      <c r="Z15" s="11" t="s">
        <v>286</v>
      </c>
      <c r="AA15" s="11" t="s">
        <v>287</v>
      </c>
      <c r="AB15" s="11" t="s">
        <v>288</v>
      </c>
      <c r="AC15" s="12" t="s">
        <v>289</v>
      </c>
      <c r="AD15" s="13">
        <v>208.413317</v>
      </c>
      <c r="AE15" s="11" t="s">
        <v>290</v>
      </c>
      <c r="AF15" s="11" t="s">
        <v>291</v>
      </c>
      <c r="AG15" s="11" t="s">
        <v>292</v>
      </c>
      <c r="AH15" s="13">
        <v>208.407976</v>
      </c>
    </row>
    <row r="16" ht="22.5" customHeight="1">
      <c r="A16" s="3"/>
      <c r="B16" s="3">
        <v>15.0</v>
      </c>
      <c r="C16" s="3">
        <v>5.0</v>
      </c>
      <c r="D16" s="4" t="s">
        <v>15</v>
      </c>
      <c r="E16" s="5" t="s">
        <v>293</v>
      </c>
      <c r="F16" s="5" t="s">
        <v>294</v>
      </c>
      <c r="G16" s="5" t="s">
        <v>294</v>
      </c>
      <c r="H16" s="5" t="s">
        <v>294</v>
      </c>
      <c r="I16" s="5" t="s">
        <v>294</v>
      </c>
      <c r="J16" s="5" t="s">
        <v>294</v>
      </c>
      <c r="K16" s="5" t="s">
        <v>295</v>
      </c>
      <c r="L16" s="5" t="s">
        <v>296</v>
      </c>
      <c r="M16" s="5" t="s">
        <v>297</v>
      </c>
      <c r="N16" s="5" t="s">
        <v>298</v>
      </c>
      <c r="O16" s="5" t="s">
        <v>299</v>
      </c>
      <c r="T16" s="9" t="s">
        <v>300</v>
      </c>
      <c r="U16" s="9" t="s">
        <v>301</v>
      </c>
      <c r="V16" s="11" t="s">
        <v>300</v>
      </c>
      <c r="W16" s="11" t="s">
        <v>300</v>
      </c>
      <c r="X16" s="12" t="s">
        <v>302</v>
      </c>
      <c r="Y16" s="11" t="s">
        <v>303</v>
      </c>
      <c r="Z16" s="11" t="s">
        <v>304</v>
      </c>
      <c r="AA16" s="11" t="s">
        <v>305</v>
      </c>
      <c r="AB16" s="11" t="s">
        <v>306</v>
      </c>
      <c r="AC16" s="12" t="s">
        <v>307</v>
      </c>
      <c r="AD16" s="13">
        <v>218.366461</v>
      </c>
      <c r="AE16" s="11" t="s">
        <v>308</v>
      </c>
      <c r="AF16" s="11" t="s">
        <v>309</v>
      </c>
      <c r="AG16" s="11" t="s">
        <v>310</v>
      </c>
      <c r="AH16" s="13">
        <v>217.410421</v>
      </c>
    </row>
    <row r="17" ht="22.5" customHeight="1">
      <c r="A17" s="3"/>
      <c r="B17" s="3">
        <v>16.0</v>
      </c>
      <c r="C17" s="3">
        <v>5.0</v>
      </c>
      <c r="D17" s="4" t="s">
        <v>15</v>
      </c>
      <c r="E17" s="5" t="s">
        <v>311</v>
      </c>
      <c r="F17" s="5" t="s">
        <v>312</v>
      </c>
      <c r="G17" s="5" t="s">
        <v>313</v>
      </c>
      <c r="H17" s="5" t="s">
        <v>314</v>
      </c>
      <c r="I17" s="5" t="s">
        <v>313</v>
      </c>
      <c r="J17" s="5" t="s">
        <v>315</v>
      </c>
      <c r="K17" s="5" t="s">
        <v>316</v>
      </c>
      <c r="L17" s="5" t="s">
        <v>317</v>
      </c>
      <c r="M17" s="5" t="s">
        <v>318</v>
      </c>
      <c r="N17" s="5" t="s">
        <v>319</v>
      </c>
      <c r="O17" s="5" t="s">
        <v>320</v>
      </c>
      <c r="T17" s="9" t="s">
        <v>321</v>
      </c>
      <c r="U17" s="9" t="s">
        <v>321</v>
      </c>
      <c r="V17" s="11" t="s">
        <v>321</v>
      </c>
      <c r="W17" s="11" t="s">
        <v>321</v>
      </c>
      <c r="X17" s="12" t="s">
        <v>321</v>
      </c>
      <c r="Y17" s="11" t="s">
        <v>322</v>
      </c>
      <c r="Z17" s="11" t="s">
        <v>323</v>
      </c>
      <c r="AA17" s="11" t="s">
        <v>324</v>
      </c>
      <c r="AB17" s="11" t="s">
        <v>325</v>
      </c>
      <c r="AC17" s="12" t="s">
        <v>326</v>
      </c>
      <c r="AD17" s="13">
        <v>326.397332</v>
      </c>
      <c r="AE17" s="11" t="s">
        <v>327</v>
      </c>
      <c r="AF17" s="11" t="s">
        <v>328</v>
      </c>
      <c r="AG17" s="11" t="s">
        <v>329</v>
      </c>
      <c r="AH17" s="13">
        <v>347.26585</v>
      </c>
    </row>
    <row r="18" ht="22.5" customHeight="1">
      <c r="A18" s="3"/>
      <c r="B18" s="3">
        <v>17.0</v>
      </c>
      <c r="C18" s="3">
        <v>5.0</v>
      </c>
      <c r="D18" s="4" t="s">
        <v>41</v>
      </c>
      <c r="E18" s="5" t="s">
        <v>330</v>
      </c>
      <c r="F18" s="5" t="s">
        <v>331</v>
      </c>
      <c r="G18" s="5" t="s">
        <v>332</v>
      </c>
      <c r="H18" s="5" t="s">
        <v>333</v>
      </c>
      <c r="I18" s="5" t="s">
        <v>333</v>
      </c>
      <c r="J18" s="5" t="s">
        <v>331</v>
      </c>
      <c r="K18" s="5" t="s">
        <v>334</v>
      </c>
      <c r="L18" s="5" t="s">
        <v>335</v>
      </c>
      <c r="M18" s="5" t="s">
        <v>336</v>
      </c>
      <c r="N18" s="5" t="s">
        <v>337</v>
      </c>
      <c r="O18" s="5" t="s">
        <v>338</v>
      </c>
      <c r="T18" s="9" t="s">
        <v>339</v>
      </c>
      <c r="U18" s="9" t="s">
        <v>340</v>
      </c>
      <c r="V18" s="11" t="s">
        <v>341</v>
      </c>
      <c r="W18" s="11" t="s">
        <v>340</v>
      </c>
      <c r="X18" s="12" t="s">
        <v>342</v>
      </c>
      <c r="Y18" s="11" t="s">
        <v>343</v>
      </c>
      <c r="Z18" s="11" t="s">
        <v>344</v>
      </c>
      <c r="AA18" s="11" t="s">
        <v>345</v>
      </c>
      <c r="AB18" s="11" t="s">
        <v>346</v>
      </c>
      <c r="AC18" s="12" t="s">
        <v>347</v>
      </c>
      <c r="AD18" s="13">
        <v>338.362263</v>
      </c>
      <c r="AE18" s="11" t="s">
        <v>348</v>
      </c>
      <c r="AF18" s="11" t="s">
        <v>349</v>
      </c>
      <c r="AG18" s="11" t="s">
        <v>350</v>
      </c>
      <c r="AH18" s="13">
        <v>359.195884</v>
      </c>
    </row>
    <row r="19" ht="22.5" customHeight="1">
      <c r="A19" s="3"/>
      <c r="B19" s="3">
        <v>18.0</v>
      </c>
      <c r="C19" s="3">
        <v>5.0</v>
      </c>
      <c r="D19" s="4" t="s">
        <v>15</v>
      </c>
      <c r="E19" s="5" t="s">
        <v>351</v>
      </c>
      <c r="F19" s="5" t="s">
        <v>352</v>
      </c>
      <c r="G19" s="5" t="s">
        <v>353</v>
      </c>
      <c r="H19" s="5" t="s">
        <v>354</v>
      </c>
      <c r="I19" s="5" t="s">
        <v>355</v>
      </c>
      <c r="J19" s="5" t="s">
        <v>356</v>
      </c>
      <c r="K19" s="5" t="s">
        <v>357</v>
      </c>
      <c r="L19" s="5" t="s">
        <v>358</v>
      </c>
      <c r="M19" s="5" t="s">
        <v>359</v>
      </c>
      <c r="N19" s="5" t="s">
        <v>360</v>
      </c>
      <c r="O19" s="5" t="s">
        <v>361</v>
      </c>
      <c r="T19" s="9" t="s">
        <v>362</v>
      </c>
      <c r="U19" s="9" t="s">
        <v>363</v>
      </c>
      <c r="V19" s="11" t="s">
        <v>364</v>
      </c>
      <c r="W19" s="11" t="s">
        <v>364</v>
      </c>
      <c r="X19" s="12" t="s">
        <v>362</v>
      </c>
      <c r="Y19" s="11" t="s">
        <v>365</v>
      </c>
      <c r="Z19" s="11" t="s">
        <v>366</v>
      </c>
      <c r="AA19" s="11" t="s">
        <v>367</v>
      </c>
      <c r="AB19" s="11" t="s">
        <v>368</v>
      </c>
      <c r="AC19" s="12" t="s">
        <v>369</v>
      </c>
      <c r="AD19" s="13">
        <v>349.218079</v>
      </c>
      <c r="AE19" s="11" t="s">
        <v>370</v>
      </c>
      <c r="AF19" s="11" t="s">
        <v>371</v>
      </c>
      <c r="AG19" s="11" t="s">
        <v>372</v>
      </c>
      <c r="AH19" s="13">
        <v>356.886072</v>
      </c>
    </row>
    <row r="20" ht="22.5" customHeight="1">
      <c r="A20" s="3"/>
      <c r="B20" s="3">
        <v>19.0</v>
      </c>
      <c r="C20" s="3">
        <v>5.0</v>
      </c>
      <c r="D20" s="4" t="s">
        <v>15</v>
      </c>
      <c r="E20" s="5" t="s">
        <v>373</v>
      </c>
      <c r="F20" s="5" t="s">
        <v>374</v>
      </c>
      <c r="G20" s="5" t="s">
        <v>374</v>
      </c>
      <c r="H20" s="5" t="s">
        <v>374</v>
      </c>
      <c r="I20" s="5" t="s">
        <v>374</v>
      </c>
      <c r="J20" s="5" t="s">
        <v>374</v>
      </c>
      <c r="K20" s="5" t="s">
        <v>375</v>
      </c>
      <c r="L20" s="5" t="s">
        <v>376</v>
      </c>
      <c r="M20" s="5" t="s">
        <v>377</v>
      </c>
      <c r="N20" s="5" t="s">
        <v>378</v>
      </c>
      <c r="O20" s="5" t="s">
        <v>379</v>
      </c>
      <c r="T20" s="9" t="s">
        <v>380</v>
      </c>
      <c r="U20" s="9" t="s">
        <v>381</v>
      </c>
      <c r="V20" s="11" t="s">
        <v>382</v>
      </c>
      <c r="W20" s="11" t="s">
        <v>383</v>
      </c>
      <c r="X20" s="12" t="s">
        <v>384</v>
      </c>
      <c r="Y20" s="11" t="s">
        <v>385</v>
      </c>
      <c r="Z20" s="11" t="s">
        <v>386</v>
      </c>
      <c r="AA20" s="11" t="s">
        <v>387</v>
      </c>
      <c r="AB20" s="11" t="s">
        <v>388</v>
      </c>
      <c r="AC20" s="12" t="s">
        <v>389</v>
      </c>
      <c r="AD20" s="13">
        <v>454.786163</v>
      </c>
      <c r="AE20" s="11" t="s">
        <v>390</v>
      </c>
      <c r="AF20" s="11" t="s">
        <v>391</v>
      </c>
      <c r="AG20" s="11" t="s">
        <v>392</v>
      </c>
      <c r="AH20" s="13">
        <v>454.786178</v>
      </c>
    </row>
    <row r="21" ht="22.5" customHeight="1">
      <c r="A21" s="3"/>
      <c r="B21" s="3">
        <v>20.0</v>
      </c>
      <c r="C21" s="3">
        <v>5.0</v>
      </c>
      <c r="D21" s="4" t="s">
        <v>41</v>
      </c>
      <c r="E21" s="5" t="s">
        <v>393</v>
      </c>
      <c r="F21" s="5" t="s">
        <v>394</v>
      </c>
      <c r="G21" s="5" t="s">
        <v>395</v>
      </c>
      <c r="H21" s="5" t="s">
        <v>396</v>
      </c>
      <c r="I21" s="5" t="s">
        <v>397</v>
      </c>
      <c r="J21" s="5" t="s">
        <v>398</v>
      </c>
      <c r="K21" s="5" t="s">
        <v>399</v>
      </c>
      <c r="L21" s="5" t="s">
        <v>400</v>
      </c>
      <c r="M21" s="5" t="s">
        <v>401</v>
      </c>
      <c r="N21" s="5" t="s">
        <v>402</v>
      </c>
      <c r="O21" s="5" t="s">
        <v>403</v>
      </c>
      <c r="T21" s="9" t="s">
        <v>404</v>
      </c>
      <c r="U21" s="9" t="s">
        <v>404</v>
      </c>
      <c r="V21" s="11" t="s">
        <v>404</v>
      </c>
      <c r="W21" s="11" t="s">
        <v>404</v>
      </c>
      <c r="X21" s="12" t="s">
        <v>404</v>
      </c>
      <c r="Y21" s="11" t="s">
        <v>405</v>
      </c>
      <c r="Z21" s="11" t="s">
        <v>406</v>
      </c>
      <c r="AA21" s="11" t="s">
        <v>407</v>
      </c>
      <c r="AB21" s="11" t="s">
        <v>408</v>
      </c>
      <c r="AC21" s="12" t="s">
        <v>409</v>
      </c>
      <c r="AD21" s="13">
        <v>457.536132</v>
      </c>
      <c r="AE21" s="11" t="s">
        <v>410</v>
      </c>
      <c r="AF21" s="11" t="s">
        <v>411</v>
      </c>
      <c r="AG21" s="11" t="s">
        <v>412</v>
      </c>
      <c r="AH21" s="13">
        <v>457.077496</v>
      </c>
    </row>
    <row r="22" ht="22.5" customHeight="1">
      <c r="A22" s="3"/>
      <c r="B22" s="3">
        <v>21.0</v>
      </c>
      <c r="C22" s="3">
        <v>5.0</v>
      </c>
      <c r="D22" s="14" t="s">
        <v>15</v>
      </c>
      <c r="E22" s="15" t="s">
        <v>413</v>
      </c>
      <c r="F22" s="5" t="s">
        <v>414</v>
      </c>
      <c r="G22" s="5" t="s">
        <v>414</v>
      </c>
      <c r="H22" s="5" t="s">
        <v>414</v>
      </c>
      <c r="I22" s="5" t="s">
        <v>414</v>
      </c>
      <c r="J22" s="5" t="s">
        <v>414</v>
      </c>
      <c r="K22" s="5" t="s">
        <v>415</v>
      </c>
      <c r="L22" s="5" t="s">
        <v>416</v>
      </c>
      <c r="M22" s="5" t="s">
        <v>417</v>
      </c>
      <c r="N22" s="5" t="s">
        <v>418</v>
      </c>
      <c r="O22" s="5" t="s">
        <v>419</v>
      </c>
      <c r="T22" s="9" t="s">
        <v>420</v>
      </c>
      <c r="U22" s="9" t="s">
        <v>421</v>
      </c>
      <c r="V22" s="11" t="s">
        <v>422</v>
      </c>
      <c r="W22" s="11" t="s">
        <v>423</v>
      </c>
      <c r="X22" s="12" t="s">
        <v>424</v>
      </c>
      <c r="Y22" s="11" t="s">
        <v>425</v>
      </c>
      <c r="Z22" s="11" t="s">
        <v>426</v>
      </c>
      <c r="AA22" s="11" t="s">
        <v>427</v>
      </c>
      <c r="AB22" s="11" t="s">
        <v>428</v>
      </c>
      <c r="AC22" s="12" t="s">
        <v>429</v>
      </c>
      <c r="AD22" s="13">
        <v>454.521112</v>
      </c>
      <c r="AE22" s="11" t="s">
        <v>430</v>
      </c>
      <c r="AF22" s="11" t="s">
        <v>431</v>
      </c>
      <c r="AG22" s="11" t="s">
        <v>432</v>
      </c>
      <c r="AH22" s="13">
        <v>454.977905</v>
      </c>
    </row>
    <row r="23" ht="22.5" customHeight="1">
      <c r="A23" s="3"/>
      <c r="B23" s="3">
        <v>22.0</v>
      </c>
      <c r="C23" s="3">
        <v>5.0</v>
      </c>
      <c r="D23" s="14" t="s">
        <v>41</v>
      </c>
      <c r="E23" s="15" t="s">
        <v>433</v>
      </c>
      <c r="F23" s="5" t="s">
        <v>434</v>
      </c>
      <c r="G23" s="5" t="s">
        <v>434</v>
      </c>
      <c r="H23" s="5" t="s">
        <v>435</v>
      </c>
      <c r="I23" s="5" t="s">
        <v>434</v>
      </c>
      <c r="J23" s="5" t="s">
        <v>436</v>
      </c>
      <c r="K23" s="5" t="s">
        <v>437</v>
      </c>
      <c r="L23" s="5" t="s">
        <v>438</v>
      </c>
      <c r="M23" s="5" t="s">
        <v>439</v>
      </c>
      <c r="N23" s="5" t="s">
        <v>440</v>
      </c>
      <c r="O23" s="5" t="s">
        <v>441</v>
      </c>
      <c r="T23" s="9" t="s">
        <v>442</v>
      </c>
      <c r="U23" s="9" t="s">
        <v>442</v>
      </c>
      <c r="V23" s="11" t="s">
        <v>442</v>
      </c>
      <c r="W23" s="11" t="s">
        <v>442</v>
      </c>
      <c r="X23" s="12" t="s">
        <v>442</v>
      </c>
      <c r="Y23" s="11" t="s">
        <v>443</v>
      </c>
      <c r="Z23" s="11" t="s">
        <v>444</v>
      </c>
      <c r="AA23" s="11" t="s">
        <v>445</v>
      </c>
      <c r="AB23" s="11" t="s">
        <v>446</v>
      </c>
      <c r="AC23" s="12" t="s">
        <v>447</v>
      </c>
      <c r="AD23" s="13">
        <v>606.732487</v>
      </c>
      <c r="AE23" s="11" t="s">
        <v>448</v>
      </c>
      <c r="AF23" s="11" t="s">
        <v>449</v>
      </c>
      <c r="AG23" s="11" t="s">
        <v>450</v>
      </c>
      <c r="AH23" s="13">
        <v>606.444671</v>
      </c>
    </row>
    <row r="24" ht="22.5" customHeight="1">
      <c r="A24" s="3"/>
      <c r="B24" s="3">
        <v>23.0</v>
      </c>
      <c r="C24" s="3">
        <v>5.0</v>
      </c>
      <c r="D24" s="14" t="s">
        <v>15</v>
      </c>
      <c r="E24" s="15" t="s">
        <v>451</v>
      </c>
      <c r="F24" s="5" t="s">
        <v>452</v>
      </c>
      <c r="G24" s="5" t="s">
        <v>452</v>
      </c>
      <c r="H24" s="5" t="s">
        <v>452</v>
      </c>
      <c r="I24" s="5" t="s">
        <v>452</v>
      </c>
      <c r="J24" s="5" t="s">
        <v>452</v>
      </c>
      <c r="K24" s="5" t="s">
        <v>453</v>
      </c>
      <c r="L24" s="5" t="s">
        <v>454</v>
      </c>
      <c r="M24" s="5" t="s">
        <v>455</v>
      </c>
      <c r="N24" s="5" t="s">
        <v>456</v>
      </c>
      <c r="O24" s="5" t="s">
        <v>457</v>
      </c>
      <c r="T24" s="9" t="s">
        <v>458</v>
      </c>
      <c r="U24" s="9" t="s">
        <v>458</v>
      </c>
      <c r="V24" s="11" t="s">
        <v>459</v>
      </c>
      <c r="W24" s="11" t="s">
        <v>458</v>
      </c>
      <c r="X24" s="12" t="s">
        <v>460</v>
      </c>
      <c r="Y24" s="11" t="s">
        <v>461</v>
      </c>
      <c r="Z24" s="11" t="s">
        <v>462</v>
      </c>
      <c r="AA24" s="11" t="s">
        <v>463</v>
      </c>
      <c r="AB24" s="11" t="s">
        <v>464</v>
      </c>
      <c r="AC24" s="12" t="s">
        <v>465</v>
      </c>
      <c r="AD24" s="13">
        <v>610.943171</v>
      </c>
      <c r="AE24" s="11" t="s">
        <v>466</v>
      </c>
      <c r="AF24" s="11" t="s">
        <v>467</v>
      </c>
      <c r="AG24" s="11" t="s">
        <v>468</v>
      </c>
      <c r="AH24" s="13">
        <v>611.415759</v>
      </c>
    </row>
    <row r="25" ht="22.5" customHeight="1">
      <c r="A25" s="3"/>
      <c r="B25" s="3">
        <v>24.0</v>
      </c>
      <c r="C25" s="3">
        <v>5.0</v>
      </c>
      <c r="D25" s="14" t="s">
        <v>41</v>
      </c>
      <c r="E25" s="15" t="s">
        <v>469</v>
      </c>
      <c r="F25" s="5" t="s">
        <v>470</v>
      </c>
      <c r="G25" s="5" t="s">
        <v>471</v>
      </c>
      <c r="H25" s="5" t="s">
        <v>472</v>
      </c>
      <c r="I25" s="5" t="s">
        <v>472</v>
      </c>
      <c r="J25" s="5" t="s">
        <v>471</v>
      </c>
      <c r="K25" s="5" t="s">
        <v>473</v>
      </c>
      <c r="L25" s="5" t="s">
        <v>474</v>
      </c>
      <c r="M25" s="5" t="s">
        <v>475</v>
      </c>
      <c r="N25" s="5" t="s">
        <v>476</v>
      </c>
      <c r="O25" s="5" t="s">
        <v>477</v>
      </c>
      <c r="T25" s="9" t="s">
        <v>478</v>
      </c>
      <c r="U25" s="9" t="s">
        <v>478</v>
      </c>
      <c r="V25" s="11" t="s">
        <v>478</v>
      </c>
      <c r="W25" s="11" t="s">
        <v>478</v>
      </c>
      <c r="X25" s="12" t="s">
        <v>478</v>
      </c>
      <c r="Y25" s="11" t="s">
        <v>479</v>
      </c>
      <c r="Z25" s="11" t="s">
        <v>480</v>
      </c>
      <c r="AA25" s="11" t="s">
        <v>481</v>
      </c>
      <c r="AB25" s="11" t="s">
        <v>482</v>
      </c>
      <c r="AC25" s="12" t="s">
        <v>483</v>
      </c>
      <c r="AD25" s="13">
        <v>828.426203</v>
      </c>
      <c r="AE25" s="11" t="s">
        <v>484</v>
      </c>
      <c r="AF25" s="11" t="s">
        <v>485</v>
      </c>
      <c r="AG25" s="11" t="s">
        <v>486</v>
      </c>
      <c r="AH25" s="13">
        <v>827.812418</v>
      </c>
    </row>
    <row r="26" ht="22.5" customHeight="1">
      <c r="A26" s="3"/>
      <c r="B26" s="3">
        <v>25.0</v>
      </c>
      <c r="C26" s="3">
        <v>5.0</v>
      </c>
      <c r="D26" s="14" t="s">
        <v>15</v>
      </c>
      <c r="E26" s="15" t="s">
        <v>487</v>
      </c>
      <c r="F26" s="5" t="s">
        <v>488</v>
      </c>
      <c r="G26" s="5" t="s">
        <v>488</v>
      </c>
      <c r="H26" s="5" t="s">
        <v>488</v>
      </c>
      <c r="I26" s="5" t="s">
        <v>488</v>
      </c>
      <c r="J26" s="5" t="s">
        <v>488</v>
      </c>
      <c r="K26" s="5" t="s">
        <v>489</v>
      </c>
      <c r="L26" s="5" t="s">
        <v>490</v>
      </c>
      <c r="M26" s="5" t="s">
        <v>491</v>
      </c>
      <c r="N26" s="5" t="s">
        <v>492</v>
      </c>
      <c r="O26" s="5" t="s">
        <v>493</v>
      </c>
      <c r="T26" s="9" t="s">
        <v>494</v>
      </c>
      <c r="U26" s="9" t="s">
        <v>495</v>
      </c>
      <c r="V26" s="11" t="s">
        <v>496</v>
      </c>
      <c r="W26" s="11" t="s">
        <v>496</v>
      </c>
      <c r="X26" s="12" t="s">
        <v>495</v>
      </c>
      <c r="Y26" s="11" t="s">
        <v>497</v>
      </c>
      <c r="Z26" s="11" t="s">
        <v>498</v>
      </c>
      <c r="AA26" s="11" t="s">
        <v>499</v>
      </c>
      <c r="AB26" s="11" t="s">
        <v>500</v>
      </c>
      <c r="AC26" s="12" t="s">
        <v>501</v>
      </c>
      <c r="AD26" s="13">
        <v>837.063765</v>
      </c>
      <c r="AE26" s="11" t="s">
        <v>502</v>
      </c>
      <c r="AF26" s="11" t="s">
        <v>503</v>
      </c>
      <c r="AG26" s="11" t="s">
        <v>504</v>
      </c>
      <c r="AH26" s="13">
        <v>837.654916</v>
      </c>
    </row>
    <row r="27" ht="22.5" customHeight="1">
      <c r="T27" s="9" t="s">
        <v>505</v>
      </c>
      <c r="U27" s="9" t="s">
        <v>505</v>
      </c>
      <c r="V27" s="11" t="s">
        <v>505</v>
      </c>
      <c r="W27" s="11" t="s">
        <v>505</v>
      </c>
      <c r="X27" s="12" t="s">
        <v>505</v>
      </c>
      <c r="Y27" s="11" t="s">
        <v>506</v>
      </c>
      <c r="Z27" s="11" t="s">
        <v>507</v>
      </c>
      <c r="AA27" s="11" t="s">
        <v>508</v>
      </c>
      <c r="AB27" s="11" t="s">
        <v>509</v>
      </c>
      <c r="AC27" s="12" t="s">
        <v>510</v>
      </c>
      <c r="AD27" s="13">
        <v>1018.835442</v>
      </c>
      <c r="AE27" s="11" t="s">
        <v>511</v>
      </c>
      <c r="AF27" s="11" t="s">
        <v>512</v>
      </c>
      <c r="AG27" s="11" t="s">
        <v>513</v>
      </c>
      <c r="AH27" s="13">
        <v>1018.986336</v>
      </c>
    </row>
    <row r="28">
      <c r="X28" s="16"/>
      <c r="Y28" s="16"/>
      <c r="Z28" s="16"/>
      <c r="AA28" s="16"/>
    </row>
    <row r="32">
      <c r="I32" s="16"/>
      <c r="J32" s="16"/>
      <c r="L32" s="17"/>
    </row>
    <row r="33">
      <c r="I33" s="16"/>
      <c r="J33" s="16"/>
    </row>
    <row r="34" ht="22.5" customHeight="1">
      <c r="A34" s="18" t="s">
        <v>1</v>
      </c>
      <c r="B34" s="18" t="s">
        <v>36</v>
      </c>
      <c r="C34" s="19" t="s">
        <v>37</v>
      </c>
      <c r="D34" s="19" t="s">
        <v>38</v>
      </c>
      <c r="E34" s="19" t="s">
        <v>39</v>
      </c>
      <c r="F34" s="19" t="s">
        <v>40</v>
      </c>
      <c r="G34" s="20" t="s">
        <v>514</v>
      </c>
      <c r="H34" s="20" t="s">
        <v>515</v>
      </c>
      <c r="I34" s="20" t="s">
        <v>516</v>
      </c>
      <c r="J34" s="20" t="s">
        <v>517</v>
      </c>
    </row>
    <row r="35" ht="22.5" customHeight="1">
      <c r="A35" s="21">
        <v>1.0</v>
      </c>
      <c r="B35" s="21">
        <v>1.130546</v>
      </c>
      <c r="C35" s="21">
        <v>1.129702</v>
      </c>
      <c r="D35" s="21">
        <v>1.130167</v>
      </c>
      <c r="E35" s="21">
        <v>1.129883</v>
      </c>
      <c r="F35" s="21">
        <v>1.130095</v>
      </c>
      <c r="G35" s="22">
        <f t="shared" ref="G35:G59" si="1">AVERAGE(B35:F35)</f>
        <v>1.1300786</v>
      </c>
      <c r="H35" s="21">
        <f t="shared" ref="H35:H59" si="2">MIN(B35:F35)</f>
        <v>1.129702</v>
      </c>
      <c r="I35" s="23">
        <f t="shared" ref="I35:I59" si="3">MAX(B35:F35)</f>
        <v>1.130546</v>
      </c>
      <c r="J35" s="24">
        <f t="shared" ref="J35:J59" si="4">_xlfn.STDEV.P(B35:F35)</f>
        <v>0.00028517826</v>
      </c>
      <c r="L35" s="18" t="s">
        <v>518</v>
      </c>
      <c r="M35" s="19" t="s">
        <v>519</v>
      </c>
      <c r="N35" s="19" t="s">
        <v>520</v>
      </c>
      <c r="O35" s="19" t="s">
        <v>521</v>
      </c>
      <c r="P35" s="19" t="s">
        <v>522</v>
      </c>
      <c r="Q35" s="18" t="s">
        <v>523</v>
      </c>
      <c r="R35" s="18" t="s">
        <v>524</v>
      </c>
      <c r="S35" s="18" t="s">
        <v>525</v>
      </c>
      <c r="T35" s="18" t="s">
        <v>526</v>
      </c>
      <c r="U35" s="18" t="s">
        <v>527</v>
      </c>
      <c r="X35" s="25" t="s">
        <v>1</v>
      </c>
      <c r="Y35" s="25" t="s">
        <v>528</v>
      </c>
      <c r="Z35" s="25" t="s">
        <v>529</v>
      </c>
      <c r="AA35" s="25" t="s">
        <v>530</v>
      </c>
      <c r="AB35" s="25" t="s">
        <v>531</v>
      </c>
      <c r="AD35" s="25" t="s">
        <v>532</v>
      </c>
      <c r="AE35" s="25" t="s">
        <v>533</v>
      </c>
      <c r="AF35" s="25" t="s">
        <v>534</v>
      </c>
      <c r="AG35" s="25" t="s">
        <v>535</v>
      </c>
      <c r="AI35" s="26"/>
      <c r="AJ35" s="26"/>
    </row>
    <row r="36" ht="22.5" customHeight="1">
      <c r="A36" s="21">
        <v>2.0</v>
      </c>
      <c r="B36" s="21">
        <v>11.298781</v>
      </c>
      <c r="C36" s="21">
        <v>11.783529</v>
      </c>
      <c r="D36" s="21">
        <v>11.777712</v>
      </c>
      <c r="E36" s="21">
        <v>10.815366</v>
      </c>
      <c r="F36" s="21">
        <v>11.417393</v>
      </c>
      <c r="G36" s="22">
        <f t="shared" si="1"/>
        <v>11.4185562</v>
      </c>
      <c r="H36" s="21">
        <f t="shared" si="2"/>
        <v>10.815366</v>
      </c>
      <c r="I36" s="23">
        <f t="shared" si="3"/>
        <v>11.783529</v>
      </c>
      <c r="J36" s="24">
        <f t="shared" si="4"/>
        <v>0.3578781643</v>
      </c>
      <c r="L36" s="27" t="s">
        <v>536</v>
      </c>
      <c r="M36" s="27" t="s">
        <v>537</v>
      </c>
      <c r="N36" s="27" t="s">
        <v>538</v>
      </c>
      <c r="O36" s="27" t="s">
        <v>539</v>
      </c>
      <c r="P36" s="27" t="s">
        <v>540</v>
      </c>
      <c r="Q36" s="27" t="s">
        <v>541</v>
      </c>
      <c r="R36" s="27" t="s">
        <v>542</v>
      </c>
      <c r="S36" s="27" t="s">
        <v>543</v>
      </c>
      <c r="T36" s="27" t="s">
        <v>544</v>
      </c>
      <c r="U36" s="27" t="s">
        <v>545</v>
      </c>
      <c r="X36" s="28">
        <v>1.0</v>
      </c>
      <c r="Y36" s="29">
        <v>0.0378</v>
      </c>
      <c r="Z36" s="30">
        <v>217.8</v>
      </c>
      <c r="AA36" s="29">
        <v>0.6028</v>
      </c>
      <c r="AB36" s="28" t="s">
        <v>546</v>
      </c>
      <c r="AD36" s="29">
        <v>0.1834</v>
      </c>
      <c r="AE36" s="28" t="s">
        <v>547</v>
      </c>
      <c r="AF36" s="29">
        <v>0.6417</v>
      </c>
      <c r="AG36" s="28" t="s">
        <v>548</v>
      </c>
      <c r="AI36" s="31"/>
      <c r="AJ36" s="31"/>
    </row>
    <row r="37" ht="22.5" customHeight="1">
      <c r="A37" s="21">
        <v>3.0</v>
      </c>
      <c r="B37" s="21">
        <v>101.549462</v>
      </c>
      <c r="C37" s="21">
        <v>101.555685</v>
      </c>
      <c r="D37" s="21">
        <v>101.545002</v>
      </c>
      <c r="E37" s="21">
        <v>101.545292</v>
      </c>
      <c r="F37" s="21">
        <v>101.272651</v>
      </c>
      <c r="G37" s="22">
        <f t="shared" si="1"/>
        <v>101.4936184</v>
      </c>
      <c r="H37" s="21">
        <f t="shared" si="2"/>
        <v>101.272651</v>
      </c>
      <c r="I37" s="23">
        <f t="shared" si="3"/>
        <v>101.555685</v>
      </c>
      <c r="J37" s="24">
        <f t="shared" si="4"/>
        <v>0.1105511625</v>
      </c>
      <c r="L37" s="27" t="s">
        <v>549</v>
      </c>
      <c r="M37" s="27" t="s">
        <v>550</v>
      </c>
      <c r="N37" s="27" t="s">
        <v>551</v>
      </c>
      <c r="O37" s="27" t="s">
        <v>552</v>
      </c>
      <c r="P37" s="27" t="s">
        <v>553</v>
      </c>
      <c r="Q37" s="27" t="s">
        <v>554</v>
      </c>
      <c r="R37" s="27" t="s">
        <v>555</v>
      </c>
      <c r="S37" s="27" t="s">
        <v>543</v>
      </c>
      <c r="T37" s="27" t="s">
        <v>556</v>
      </c>
      <c r="U37" s="27" t="s">
        <v>557</v>
      </c>
      <c r="X37" s="28">
        <v>2.0</v>
      </c>
      <c r="Y37" s="29">
        <v>0.0709</v>
      </c>
      <c r="Z37" s="30">
        <v>218.1</v>
      </c>
      <c r="AA37" s="29">
        <v>0.2435</v>
      </c>
      <c r="AB37" s="28" t="s">
        <v>546</v>
      </c>
      <c r="AD37" s="29">
        <v>0.3599</v>
      </c>
      <c r="AE37" s="28" t="s">
        <v>558</v>
      </c>
      <c r="AF37" s="29">
        <v>0.3508</v>
      </c>
      <c r="AG37" s="28" t="s">
        <v>559</v>
      </c>
      <c r="AI37" s="31"/>
      <c r="AJ37" s="31"/>
    </row>
    <row r="38" ht="22.5" customHeight="1">
      <c r="A38" s="21">
        <v>4.0</v>
      </c>
      <c r="B38" s="21">
        <v>119.302786</v>
      </c>
      <c r="C38" s="21">
        <v>118.88621</v>
      </c>
      <c r="D38" s="21">
        <v>119.6641</v>
      </c>
      <c r="E38" s="21">
        <v>119.531194</v>
      </c>
      <c r="F38" s="21">
        <v>118.893182</v>
      </c>
      <c r="G38" s="22">
        <f t="shared" si="1"/>
        <v>119.2554944</v>
      </c>
      <c r="H38" s="23">
        <f t="shared" si="2"/>
        <v>118.88621</v>
      </c>
      <c r="I38" s="23">
        <f t="shared" si="3"/>
        <v>119.6641</v>
      </c>
      <c r="J38" s="24">
        <f t="shared" si="4"/>
        <v>0.3202644359</v>
      </c>
      <c r="L38" s="27" t="s">
        <v>560</v>
      </c>
      <c r="M38" s="27" t="s">
        <v>561</v>
      </c>
      <c r="N38" s="27" t="s">
        <v>537</v>
      </c>
      <c r="O38" s="27" t="s">
        <v>562</v>
      </c>
      <c r="P38" s="27" t="s">
        <v>563</v>
      </c>
      <c r="Q38" s="27" t="s">
        <v>564</v>
      </c>
      <c r="R38" s="27" t="s">
        <v>565</v>
      </c>
      <c r="S38" s="27" t="s">
        <v>566</v>
      </c>
      <c r="T38" s="27" t="s">
        <v>567</v>
      </c>
      <c r="U38" s="27" t="s">
        <v>568</v>
      </c>
      <c r="X38" s="28">
        <v>3.0</v>
      </c>
      <c r="Y38" s="29">
        <v>0.0311</v>
      </c>
      <c r="Z38" s="30">
        <v>208.0</v>
      </c>
      <c r="AA38" s="29">
        <v>0.381</v>
      </c>
      <c r="AB38" s="28" t="s">
        <v>569</v>
      </c>
      <c r="AD38" s="29">
        <v>0.5459</v>
      </c>
      <c r="AE38" s="28" t="s">
        <v>570</v>
      </c>
      <c r="AF38" s="29">
        <v>0.8021</v>
      </c>
      <c r="AG38" s="28" t="s">
        <v>571</v>
      </c>
      <c r="AI38" s="31"/>
      <c r="AJ38" s="31"/>
    </row>
    <row r="39" ht="22.5" customHeight="1">
      <c r="A39" s="21">
        <v>5.0</v>
      </c>
      <c r="B39" s="21">
        <v>120.004772</v>
      </c>
      <c r="C39" s="21">
        <v>120.012792</v>
      </c>
      <c r="D39" s="21">
        <v>119.727836</v>
      </c>
      <c r="E39" s="21">
        <v>119.732397</v>
      </c>
      <c r="F39" s="21">
        <v>120.13473</v>
      </c>
      <c r="G39" s="22">
        <f t="shared" si="1"/>
        <v>119.9225054</v>
      </c>
      <c r="H39" s="23">
        <f t="shared" si="2"/>
        <v>119.727836</v>
      </c>
      <c r="I39" s="23">
        <f t="shared" si="3"/>
        <v>120.13473</v>
      </c>
      <c r="J39" s="24">
        <f t="shared" si="4"/>
        <v>0.1637046875</v>
      </c>
      <c r="L39" s="27" t="s">
        <v>572</v>
      </c>
      <c r="M39" s="27" t="s">
        <v>573</v>
      </c>
      <c r="N39" s="27" t="s">
        <v>574</v>
      </c>
      <c r="O39" s="27" t="s">
        <v>575</v>
      </c>
      <c r="P39" s="27" t="s">
        <v>576</v>
      </c>
      <c r="Q39" s="27" t="s">
        <v>564</v>
      </c>
      <c r="R39" s="27" t="s">
        <v>565</v>
      </c>
      <c r="S39" s="27" t="s">
        <v>577</v>
      </c>
      <c r="T39" s="27" t="s">
        <v>578</v>
      </c>
      <c r="U39" s="27" t="s">
        <v>568</v>
      </c>
      <c r="X39" s="28">
        <v>4.0</v>
      </c>
      <c r="Y39" s="29">
        <v>0.0332</v>
      </c>
      <c r="Z39" s="30">
        <v>195.7</v>
      </c>
      <c r="AA39" s="29">
        <v>0.6771</v>
      </c>
      <c r="AB39" s="28" t="s">
        <v>569</v>
      </c>
      <c r="AD39" s="29">
        <v>0.2124</v>
      </c>
      <c r="AE39" s="28" t="s">
        <v>579</v>
      </c>
      <c r="AF39" s="29">
        <v>0.3169</v>
      </c>
      <c r="AG39" s="28" t="s">
        <v>580</v>
      </c>
      <c r="AI39" s="31"/>
      <c r="AJ39" s="31"/>
    </row>
    <row r="40" ht="22.5" customHeight="1">
      <c r="A40" s="21">
        <v>6.0</v>
      </c>
      <c r="B40" s="21">
        <v>282.440231</v>
      </c>
      <c r="C40" s="21">
        <v>282.396131</v>
      </c>
      <c r="D40" s="21">
        <v>282.572122</v>
      </c>
      <c r="E40" s="21">
        <v>282.439838</v>
      </c>
      <c r="F40" s="21">
        <v>282.403464</v>
      </c>
      <c r="G40" s="22">
        <f t="shared" si="1"/>
        <v>282.4503572</v>
      </c>
      <c r="H40" s="23">
        <f t="shared" si="2"/>
        <v>282.396131</v>
      </c>
      <c r="I40" s="23">
        <f t="shared" si="3"/>
        <v>282.572122</v>
      </c>
      <c r="J40" s="24">
        <f t="shared" si="4"/>
        <v>0.06352843928</v>
      </c>
      <c r="L40" s="27" t="s">
        <v>537</v>
      </c>
      <c r="M40" s="27" t="s">
        <v>581</v>
      </c>
      <c r="N40" s="27" t="s">
        <v>551</v>
      </c>
      <c r="O40" s="27" t="s">
        <v>582</v>
      </c>
      <c r="P40" s="27" t="s">
        <v>583</v>
      </c>
      <c r="Q40" s="27" t="s">
        <v>564</v>
      </c>
      <c r="R40" s="27" t="s">
        <v>565</v>
      </c>
      <c r="S40" s="27" t="s">
        <v>566</v>
      </c>
      <c r="T40" s="27" t="s">
        <v>578</v>
      </c>
      <c r="U40" s="27" t="s">
        <v>568</v>
      </c>
      <c r="X40" s="28">
        <v>5.0</v>
      </c>
      <c r="Y40" s="29">
        <v>0.0389</v>
      </c>
      <c r="Z40" s="30">
        <v>196.1</v>
      </c>
      <c r="AA40" s="29">
        <v>0.2505</v>
      </c>
      <c r="AB40" s="28" t="s">
        <v>584</v>
      </c>
      <c r="AD40" s="29">
        <v>0.9779</v>
      </c>
      <c r="AE40" s="28" t="s">
        <v>585</v>
      </c>
      <c r="AF40" s="29">
        <v>0.2066</v>
      </c>
      <c r="AG40" s="28" t="s">
        <v>580</v>
      </c>
      <c r="AI40" s="31"/>
      <c r="AJ40" s="31"/>
    </row>
    <row r="41" ht="22.5" customHeight="1">
      <c r="A41" s="21">
        <v>7.0</v>
      </c>
      <c r="B41" s="21">
        <v>400.101627</v>
      </c>
      <c r="C41" s="21">
        <v>400.658062</v>
      </c>
      <c r="D41" s="21">
        <v>399.140266</v>
      </c>
      <c r="E41" s="21">
        <v>398.938272</v>
      </c>
      <c r="F41" s="21">
        <v>400.660225</v>
      </c>
      <c r="G41" s="22">
        <f t="shared" si="1"/>
        <v>399.8996904</v>
      </c>
      <c r="H41" s="23">
        <f t="shared" si="2"/>
        <v>398.938272</v>
      </c>
      <c r="I41" s="23">
        <f t="shared" si="3"/>
        <v>400.660225</v>
      </c>
      <c r="J41" s="24">
        <f t="shared" si="4"/>
        <v>0.7342165227</v>
      </c>
      <c r="L41" s="27" t="s">
        <v>586</v>
      </c>
      <c r="M41" s="27" t="s">
        <v>552</v>
      </c>
      <c r="N41" s="27" t="s">
        <v>587</v>
      </c>
      <c r="O41" s="27" t="s">
        <v>588</v>
      </c>
      <c r="P41" s="27" t="s">
        <v>587</v>
      </c>
      <c r="Q41" s="27" t="s">
        <v>589</v>
      </c>
      <c r="R41" s="27" t="s">
        <v>590</v>
      </c>
      <c r="S41" s="27" t="s">
        <v>566</v>
      </c>
      <c r="T41" s="27" t="s">
        <v>567</v>
      </c>
      <c r="U41" s="27" t="s">
        <v>591</v>
      </c>
      <c r="X41" s="28">
        <v>6.0</v>
      </c>
      <c r="Y41" s="29">
        <v>0.0601</v>
      </c>
      <c r="Z41" s="30">
        <v>153.9</v>
      </c>
      <c r="AA41" s="29">
        <v>0.7168</v>
      </c>
      <c r="AB41" s="28" t="s">
        <v>592</v>
      </c>
      <c r="AD41" s="29">
        <v>0.1882</v>
      </c>
      <c r="AE41" s="28" t="s">
        <v>593</v>
      </c>
      <c r="AF41" s="29">
        <v>0.1651</v>
      </c>
      <c r="AG41" s="28" t="s">
        <v>594</v>
      </c>
      <c r="AI41" s="31"/>
      <c r="AJ41" s="31"/>
    </row>
    <row r="42" ht="22.5" customHeight="1">
      <c r="A42" s="21">
        <v>8.0</v>
      </c>
      <c r="B42" s="21">
        <v>560.715923</v>
      </c>
      <c r="C42" s="21">
        <v>560.713435</v>
      </c>
      <c r="D42" s="21">
        <v>560.590162</v>
      </c>
      <c r="E42" s="21">
        <v>560.716481</v>
      </c>
      <c r="F42" s="21">
        <v>560.71626</v>
      </c>
      <c r="G42" s="22">
        <f t="shared" si="1"/>
        <v>560.6904522</v>
      </c>
      <c r="H42" s="23">
        <f t="shared" si="2"/>
        <v>560.590162</v>
      </c>
      <c r="I42" s="23">
        <f t="shared" si="3"/>
        <v>560.716481</v>
      </c>
      <c r="J42" s="24">
        <f t="shared" si="4"/>
        <v>0.0501570253</v>
      </c>
      <c r="L42" s="27" t="s">
        <v>595</v>
      </c>
      <c r="M42" s="27" t="s">
        <v>587</v>
      </c>
      <c r="N42" s="27" t="s">
        <v>596</v>
      </c>
      <c r="O42" s="27" t="s">
        <v>597</v>
      </c>
      <c r="P42" s="27" t="s">
        <v>598</v>
      </c>
      <c r="Q42" s="27" t="s">
        <v>589</v>
      </c>
      <c r="R42" s="27" t="s">
        <v>590</v>
      </c>
      <c r="S42" s="27" t="s">
        <v>577</v>
      </c>
      <c r="T42" s="27" t="s">
        <v>567</v>
      </c>
      <c r="U42" s="27" t="s">
        <v>591</v>
      </c>
      <c r="X42" s="28">
        <v>7.0</v>
      </c>
      <c r="Y42" s="29">
        <v>0.0222</v>
      </c>
      <c r="Z42" s="30">
        <v>168.4</v>
      </c>
      <c r="AA42" s="29">
        <v>0.8158</v>
      </c>
      <c r="AB42" s="28" t="s">
        <v>599</v>
      </c>
      <c r="AD42" s="29">
        <v>0.4649</v>
      </c>
      <c r="AE42" s="28" t="s">
        <v>600</v>
      </c>
      <c r="AF42" s="29">
        <v>0.3941</v>
      </c>
      <c r="AG42" s="28" t="s">
        <v>601</v>
      </c>
      <c r="AI42" s="31"/>
      <c r="AJ42" s="31"/>
    </row>
    <row r="43" ht="22.5" customHeight="1">
      <c r="A43" s="21">
        <v>9.0</v>
      </c>
      <c r="B43" s="21">
        <v>5.924327</v>
      </c>
      <c r="C43" s="21">
        <v>4.956621</v>
      </c>
      <c r="D43" s="21">
        <v>5.140856</v>
      </c>
      <c r="E43" s="21">
        <v>5.923902</v>
      </c>
      <c r="F43" s="21">
        <v>4.956592</v>
      </c>
      <c r="G43" s="22">
        <f t="shared" si="1"/>
        <v>5.3804596</v>
      </c>
      <c r="H43" s="23">
        <f t="shared" si="2"/>
        <v>4.956592</v>
      </c>
      <c r="I43" s="23">
        <f t="shared" si="3"/>
        <v>5.924327</v>
      </c>
      <c r="J43" s="24">
        <f t="shared" si="4"/>
        <v>0.4489619532</v>
      </c>
      <c r="L43" s="27" t="s">
        <v>602</v>
      </c>
      <c r="M43" s="27" t="s">
        <v>603</v>
      </c>
      <c r="N43" s="27" t="s">
        <v>604</v>
      </c>
      <c r="O43" s="27" t="s">
        <v>586</v>
      </c>
      <c r="P43" s="27" t="s">
        <v>586</v>
      </c>
      <c r="Q43" s="27" t="s">
        <v>541</v>
      </c>
      <c r="R43" s="27" t="s">
        <v>605</v>
      </c>
      <c r="S43" s="27" t="s">
        <v>606</v>
      </c>
      <c r="T43" s="27" t="s">
        <v>607</v>
      </c>
      <c r="U43" s="27" t="s">
        <v>607</v>
      </c>
      <c r="X43" s="28">
        <v>8.0</v>
      </c>
      <c r="Y43" s="29">
        <v>0.0402</v>
      </c>
      <c r="Z43" s="30">
        <v>174.8</v>
      </c>
      <c r="AA43" s="29">
        <v>0.496</v>
      </c>
      <c r="AB43" s="28" t="s">
        <v>608</v>
      </c>
      <c r="AD43" s="29">
        <v>0.7977</v>
      </c>
      <c r="AE43" s="28" t="s">
        <v>609</v>
      </c>
      <c r="AF43" s="29">
        <v>0.1729</v>
      </c>
      <c r="AG43" s="28" t="s">
        <v>610</v>
      </c>
      <c r="AI43" s="31"/>
      <c r="AJ43" s="31"/>
    </row>
    <row r="44" ht="22.5" customHeight="1">
      <c r="A44" s="21">
        <v>10.0</v>
      </c>
      <c r="B44" s="21">
        <v>13.432018</v>
      </c>
      <c r="C44" s="21">
        <v>13.717981</v>
      </c>
      <c r="D44" s="21">
        <v>13.256399</v>
      </c>
      <c r="E44" s="21">
        <v>13.502996</v>
      </c>
      <c r="F44" s="21">
        <v>12.801721</v>
      </c>
      <c r="G44" s="22">
        <f t="shared" si="1"/>
        <v>13.342223</v>
      </c>
      <c r="H44" s="23">
        <f t="shared" si="2"/>
        <v>12.801721</v>
      </c>
      <c r="I44" s="23">
        <f t="shared" si="3"/>
        <v>13.717981</v>
      </c>
      <c r="J44" s="24">
        <f t="shared" si="4"/>
        <v>0.3080952272</v>
      </c>
      <c r="L44" s="27" t="s">
        <v>611</v>
      </c>
      <c r="M44" s="27" t="s">
        <v>612</v>
      </c>
      <c r="N44" s="27" t="s">
        <v>613</v>
      </c>
      <c r="O44" s="27" t="s">
        <v>614</v>
      </c>
      <c r="P44" s="27" t="s">
        <v>615</v>
      </c>
      <c r="Q44" s="27" t="s">
        <v>541</v>
      </c>
      <c r="R44" s="27" t="s">
        <v>616</v>
      </c>
      <c r="S44" s="27" t="s">
        <v>617</v>
      </c>
      <c r="T44" s="27" t="s">
        <v>605</v>
      </c>
      <c r="U44" s="27" t="s">
        <v>607</v>
      </c>
      <c r="X44" s="28">
        <v>9.0</v>
      </c>
      <c r="Y44" s="29">
        <v>0.0488</v>
      </c>
      <c r="Z44" s="30">
        <v>183.9</v>
      </c>
      <c r="AA44" s="29">
        <v>0.7592</v>
      </c>
      <c r="AB44" s="28" t="s">
        <v>618</v>
      </c>
      <c r="AD44" s="29">
        <v>0.2468</v>
      </c>
      <c r="AE44" s="28" t="s">
        <v>619</v>
      </c>
      <c r="AF44" s="29">
        <v>0.1631</v>
      </c>
      <c r="AG44" s="28" t="s">
        <v>580</v>
      </c>
      <c r="AI44" s="31"/>
      <c r="AJ44" s="31"/>
    </row>
    <row r="45" ht="22.5" customHeight="1">
      <c r="A45" s="21">
        <v>11.0</v>
      </c>
      <c r="B45" s="21">
        <v>13.580012</v>
      </c>
      <c r="C45" s="21">
        <v>13.107381</v>
      </c>
      <c r="D45" s="21">
        <v>13.107624</v>
      </c>
      <c r="E45" s="21">
        <v>13.570967</v>
      </c>
      <c r="F45" s="21">
        <v>13.10782</v>
      </c>
      <c r="G45" s="22">
        <f t="shared" si="1"/>
        <v>13.2947608</v>
      </c>
      <c r="H45" s="23">
        <f t="shared" si="2"/>
        <v>13.107381</v>
      </c>
      <c r="I45" s="23">
        <f t="shared" si="3"/>
        <v>13.580012</v>
      </c>
      <c r="J45" s="24">
        <f t="shared" si="4"/>
        <v>0.2292319114</v>
      </c>
      <c r="L45" s="27" t="s">
        <v>620</v>
      </c>
      <c r="M45" s="27" t="s">
        <v>576</v>
      </c>
      <c r="N45" s="27" t="s">
        <v>612</v>
      </c>
      <c r="O45" s="27" t="s">
        <v>588</v>
      </c>
      <c r="P45" s="27" t="s">
        <v>621</v>
      </c>
      <c r="Q45" s="27" t="s">
        <v>554</v>
      </c>
      <c r="R45" s="27" t="s">
        <v>616</v>
      </c>
      <c r="S45" s="27" t="s">
        <v>617</v>
      </c>
      <c r="T45" s="27" t="s">
        <v>605</v>
      </c>
      <c r="U45" s="27" t="s">
        <v>605</v>
      </c>
      <c r="X45" s="28">
        <v>10.0</v>
      </c>
      <c r="Y45" s="29">
        <v>0.0692</v>
      </c>
      <c r="Z45" s="30">
        <v>184.0</v>
      </c>
      <c r="AA45" s="29">
        <v>0.5129</v>
      </c>
      <c r="AB45" s="28" t="s">
        <v>618</v>
      </c>
      <c r="AD45" s="29">
        <v>0.1796</v>
      </c>
      <c r="AE45" s="28" t="s">
        <v>619</v>
      </c>
      <c r="AF45" s="29">
        <v>0.0656</v>
      </c>
      <c r="AG45" s="28" t="s">
        <v>580</v>
      </c>
      <c r="AI45" s="31"/>
      <c r="AJ45" s="31"/>
    </row>
    <row r="46" ht="22.5" customHeight="1">
      <c r="A46" s="21">
        <v>12.0</v>
      </c>
      <c r="B46" s="21">
        <v>12.462565</v>
      </c>
      <c r="C46" s="21">
        <v>11.788985</v>
      </c>
      <c r="D46" s="21">
        <v>12.240213</v>
      </c>
      <c r="E46" s="21">
        <v>12.220292</v>
      </c>
      <c r="F46" s="21">
        <v>11.802224</v>
      </c>
      <c r="G46" s="22">
        <f t="shared" si="1"/>
        <v>12.1028558</v>
      </c>
      <c r="H46" s="23">
        <f t="shared" si="2"/>
        <v>11.788985</v>
      </c>
      <c r="I46" s="23">
        <f t="shared" si="3"/>
        <v>12.462565</v>
      </c>
      <c r="J46" s="24">
        <f t="shared" si="4"/>
        <v>0.2649314358</v>
      </c>
      <c r="L46" s="27" t="s">
        <v>611</v>
      </c>
      <c r="M46" s="27" t="s">
        <v>553</v>
      </c>
      <c r="N46" s="27" t="s">
        <v>622</v>
      </c>
      <c r="O46" s="27" t="s">
        <v>611</v>
      </c>
      <c r="P46" s="27" t="s">
        <v>553</v>
      </c>
      <c r="Q46" s="27" t="s">
        <v>554</v>
      </c>
      <c r="R46" s="27" t="s">
        <v>616</v>
      </c>
      <c r="S46" s="27" t="s">
        <v>617</v>
      </c>
      <c r="T46" s="27" t="s">
        <v>605</v>
      </c>
      <c r="U46" s="27" t="s">
        <v>607</v>
      </c>
      <c r="X46" s="28">
        <v>11.0</v>
      </c>
      <c r="Y46" s="29">
        <v>0.0231</v>
      </c>
      <c r="Z46" s="30">
        <v>185.1</v>
      </c>
      <c r="AA46" s="29">
        <v>0.514</v>
      </c>
      <c r="AB46" s="28" t="s">
        <v>618</v>
      </c>
      <c r="AD46" s="29">
        <v>0.3188</v>
      </c>
      <c r="AE46" s="28" t="s">
        <v>619</v>
      </c>
      <c r="AF46" s="29">
        <v>0.1145</v>
      </c>
      <c r="AG46" s="28" t="s">
        <v>580</v>
      </c>
      <c r="AI46" s="31"/>
      <c r="AJ46" s="31"/>
    </row>
    <row r="47" ht="22.5" customHeight="1">
      <c r="A47" s="21">
        <v>13.0</v>
      </c>
      <c r="B47" s="21">
        <v>208.413317</v>
      </c>
      <c r="C47" s="21">
        <v>208.534005</v>
      </c>
      <c r="D47" s="21">
        <v>208.757302</v>
      </c>
      <c r="E47" s="21">
        <v>209.69324</v>
      </c>
      <c r="F47" s="21">
        <v>208.407976</v>
      </c>
      <c r="G47" s="22">
        <f t="shared" si="1"/>
        <v>208.761168</v>
      </c>
      <c r="H47" s="23">
        <f t="shared" si="2"/>
        <v>208.407976</v>
      </c>
      <c r="I47" s="23">
        <f t="shared" si="3"/>
        <v>209.69324</v>
      </c>
      <c r="J47" s="24">
        <f t="shared" si="4"/>
        <v>0.4829329342</v>
      </c>
      <c r="L47" s="27" t="s">
        <v>582</v>
      </c>
      <c r="M47" s="27" t="s">
        <v>623</v>
      </c>
      <c r="N47" s="27" t="s">
        <v>624</v>
      </c>
      <c r="O47" s="27" t="s">
        <v>583</v>
      </c>
      <c r="P47" s="27" t="s">
        <v>540</v>
      </c>
      <c r="Q47" s="27" t="s">
        <v>554</v>
      </c>
      <c r="R47" s="27" t="s">
        <v>616</v>
      </c>
      <c r="S47" s="27" t="s">
        <v>617</v>
      </c>
      <c r="T47" s="27" t="s">
        <v>605</v>
      </c>
      <c r="U47" s="27" t="s">
        <v>607</v>
      </c>
      <c r="X47" s="28">
        <v>12.0</v>
      </c>
      <c r="Y47" s="29">
        <v>0.024</v>
      </c>
      <c r="Z47" s="30">
        <v>185.2</v>
      </c>
      <c r="AA47" s="29">
        <v>0.624</v>
      </c>
      <c r="AB47" s="28" t="s">
        <v>618</v>
      </c>
      <c r="AD47" s="29">
        <v>0.5171</v>
      </c>
      <c r="AE47" s="28" t="s">
        <v>619</v>
      </c>
      <c r="AF47" s="29">
        <v>0.1597</v>
      </c>
      <c r="AG47" s="28" t="s">
        <v>625</v>
      </c>
      <c r="AI47" s="31"/>
      <c r="AJ47" s="31"/>
    </row>
    <row r="48" ht="22.5" customHeight="1">
      <c r="A48" s="21">
        <v>14.0</v>
      </c>
      <c r="B48" s="21">
        <v>218.366461</v>
      </c>
      <c r="C48" s="21">
        <v>218.194427</v>
      </c>
      <c r="D48" s="21">
        <v>218.138391</v>
      </c>
      <c r="E48" s="21">
        <v>218.367362</v>
      </c>
      <c r="F48" s="21">
        <v>217.410421</v>
      </c>
      <c r="G48" s="22">
        <f t="shared" si="1"/>
        <v>218.0954124</v>
      </c>
      <c r="H48" s="23">
        <f t="shared" si="2"/>
        <v>217.410421</v>
      </c>
      <c r="I48" s="23">
        <f t="shared" si="3"/>
        <v>218.367362</v>
      </c>
      <c r="J48" s="24">
        <f t="shared" si="4"/>
        <v>0.3544822133</v>
      </c>
      <c r="L48" s="27" t="s">
        <v>626</v>
      </c>
      <c r="M48" s="27" t="s">
        <v>627</v>
      </c>
      <c r="N48" s="27" t="s">
        <v>562</v>
      </c>
      <c r="O48" s="27" t="s">
        <v>628</v>
      </c>
      <c r="P48" s="27" t="s">
        <v>629</v>
      </c>
      <c r="Q48" s="27" t="s">
        <v>564</v>
      </c>
      <c r="R48" s="27" t="s">
        <v>568</v>
      </c>
      <c r="S48" s="27" t="s">
        <v>578</v>
      </c>
      <c r="T48" s="27" t="s">
        <v>568</v>
      </c>
      <c r="U48" s="27" t="s">
        <v>630</v>
      </c>
      <c r="X48" s="28">
        <v>13.0</v>
      </c>
      <c r="Y48" s="29">
        <v>0.0752</v>
      </c>
      <c r="Z48" s="30">
        <v>204.5</v>
      </c>
      <c r="AA48" s="29">
        <v>0.4241</v>
      </c>
      <c r="AB48" s="28" t="s">
        <v>618</v>
      </c>
      <c r="AD48" s="29">
        <v>0.2852</v>
      </c>
      <c r="AE48" s="28" t="s">
        <v>631</v>
      </c>
      <c r="AF48" s="29">
        <v>0.1376</v>
      </c>
      <c r="AG48" s="28" t="s">
        <v>632</v>
      </c>
      <c r="AI48" s="31"/>
      <c r="AJ48" s="31"/>
    </row>
    <row r="49" ht="22.5" customHeight="1">
      <c r="A49" s="21">
        <v>15.0</v>
      </c>
      <c r="B49" s="21">
        <v>326.397332</v>
      </c>
      <c r="C49" s="21">
        <v>370.52137</v>
      </c>
      <c r="D49" s="21">
        <v>358.327222</v>
      </c>
      <c r="E49" s="21">
        <v>367.159751</v>
      </c>
      <c r="F49" s="21">
        <v>347.26585</v>
      </c>
      <c r="G49" s="22">
        <f t="shared" si="1"/>
        <v>353.934305</v>
      </c>
      <c r="H49" s="23">
        <f t="shared" si="2"/>
        <v>326.397332</v>
      </c>
      <c r="I49" s="23">
        <f t="shared" si="3"/>
        <v>370.52137</v>
      </c>
      <c r="J49" s="24">
        <f t="shared" si="4"/>
        <v>15.95051122</v>
      </c>
      <c r="L49" s="27" t="s">
        <v>633</v>
      </c>
      <c r="M49" s="27" t="s">
        <v>583</v>
      </c>
      <c r="N49" s="27" t="s">
        <v>634</v>
      </c>
      <c r="O49" s="27" t="s">
        <v>550</v>
      </c>
      <c r="P49" s="27" t="s">
        <v>596</v>
      </c>
      <c r="Q49" s="27" t="s">
        <v>564</v>
      </c>
      <c r="R49" s="27" t="s">
        <v>568</v>
      </c>
      <c r="S49" s="27" t="s">
        <v>578</v>
      </c>
      <c r="T49" s="27" t="s">
        <v>568</v>
      </c>
      <c r="U49" s="27" t="s">
        <v>630</v>
      </c>
      <c r="X49" s="28">
        <v>14.0</v>
      </c>
      <c r="Y49" s="29">
        <v>0.0261</v>
      </c>
      <c r="Z49" s="30">
        <v>203.7</v>
      </c>
      <c r="AA49" s="29">
        <v>0.3056</v>
      </c>
      <c r="AB49" s="28" t="s">
        <v>618</v>
      </c>
      <c r="AD49" s="29">
        <v>0.259</v>
      </c>
      <c r="AE49" s="28" t="s">
        <v>635</v>
      </c>
      <c r="AF49" s="29">
        <v>0.0813</v>
      </c>
      <c r="AG49" s="28" t="s">
        <v>636</v>
      </c>
      <c r="AI49" s="31"/>
      <c r="AJ49" s="31"/>
    </row>
    <row r="50" ht="22.5" customHeight="1">
      <c r="A50" s="21">
        <v>16.0</v>
      </c>
      <c r="B50" s="21">
        <v>338.362263</v>
      </c>
      <c r="C50" s="21">
        <v>384.621584</v>
      </c>
      <c r="D50" s="21">
        <v>350.110171</v>
      </c>
      <c r="E50" s="21">
        <v>377.475662</v>
      </c>
      <c r="F50" s="21">
        <v>359.195884</v>
      </c>
      <c r="G50" s="22">
        <f t="shared" si="1"/>
        <v>361.9531128</v>
      </c>
      <c r="H50" s="23">
        <f t="shared" si="2"/>
        <v>338.362263</v>
      </c>
      <c r="I50" s="23">
        <f t="shared" si="3"/>
        <v>384.621584</v>
      </c>
      <c r="J50" s="24">
        <f t="shared" si="4"/>
        <v>17.08329532</v>
      </c>
      <c r="L50" s="27" t="s">
        <v>628</v>
      </c>
      <c r="M50" s="27" t="s">
        <v>634</v>
      </c>
      <c r="N50" s="27" t="s">
        <v>583</v>
      </c>
      <c r="O50" s="27" t="s">
        <v>637</v>
      </c>
      <c r="P50" s="27" t="s">
        <v>611</v>
      </c>
      <c r="Q50" s="27" t="s">
        <v>568</v>
      </c>
      <c r="R50" s="27" t="s">
        <v>638</v>
      </c>
      <c r="S50" s="27" t="s">
        <v>639</v>
      </c>
      <c r="T50" s="27" t="s">
        <v>640</v>
      </c>
      <c r="U50" s="27" t="s">
        <v>640</v>
      </c>
      <c r="X50" s="28">
        <v>15.0</v>
      </c>
      <c r="Y50" s="29">
        <v>0.0332</v>
      </c>
      <c r="Z50" s="30">
        <v>293.1</v>
      </c>
      <c r="AA50" s="29">
        <v>0.3639</v>
      </c>
      <c r="AB50" s="28" t="s">
        <v>641</v>
      </c>
      <c r="AD50" s="29">
        <v>0.3958</v>
      </c>
      <c r="AE50" s="28" t="s">
        <v>642</v>
      </c>
      <c r="AF50" s="29">
        <v>0.0884</v>
      </c>
      <c r="AG50" s="28" t="s">
        <v>643</v>
      </c>
      <c r="AI50" s="31"/>
      <c r="AJ50" s="31"/>
    </row>
    <row r="51" ht="22.5" customHeight="1">
      <c r="A51" s="21">
        <v>17.0</v>
      </c>
      <c r="B51" s="21">
        <v>349.218079</v>
      </c>
      <c r="C51" s="21">
        <v>384.527791</v>
      </c>
      <c r="D51" s="21">
        <v>337.519231</v>
      </c>
      <c r="E51" s="21">
        <v>369.592161</v>
      </c>
      <c r="F51" s="21">
        <v>356.886072</v>
      </c>
      <c r="G51" s="22">
        <f t="shared" si="1"/>
        <v>359.5486668</v>
      </c>
      <c r="H51" s="23">
        <f t="shared" si="2"/>
        <v>337.519231</v>
      </c>
      <c r="I51" s="23">
        <f t="shared" si="3"/>
        <v>384.527791</v>
      </c>
      <c r="J51" s="24">
        <f t="shared" si="4"/>
        <v>16.27227654</v>
      </c>
      <c r="L51" s="27" t="s">
        <v>576</v>
      </c>
      <c r="M51" s="27" t="s">
        <v>644</v>
      </c>
      <c r="N51" s="27" t="s">
        <v>595</v>
      </c>
      <c r="O51" s="27" t="s">
        <v>588</v>
      </c>
      <c r="P51" s="27" t="s">
        <v>596</v>
      </c>
      <c r="Q51" s="27" t="s">
        <v>645</v>
      </c>
      <c r="R51" s="27" t="s">
        <v>640</v>
      </c>
      <c r="S51" s="27" t="s">
        <v>646</v>
      </c>
      <c r="T51" s="27" t="s">
        <v>640</v>
      </c>
      <c r="U51" s="27" t="s">
        <v>640</v>
      </c>
      <c r="X51" s="28">
        <v>16.0</v>
      </c>
      <c r="Y51" s="29">
        <v>0.0219</v>
      </c>
      <c r="Z51" s="30">
        <v>305.7</v>
      </c>
      <c r="AA51" s="29">
        <v>0.6632</v>
      </c>
      <c r="AB51" s="28" t="s">
        <v>647</v>
      </c>
      <c r="AD51" s="29">
        <v>0.6336</v>
      </c>
      <c r="AE51" s="28" t="s">
        <v>648</v>
      </c>
      <c r="AF51" s="29">
        <v>0.4695</v>
      </c>
      <c r="AG51" s="28" t="s">
        <v>649</v>
      </c>
      <c r="AI51" s="31"/>
      <c r="AJ51" s="31"/>
    </row>
    <row r="52" ht="22.5" customHeight="1">
      <c r="A52" s="21">
        <v>18.0</v>
      </c>
      <c r="B52" s="21">
        <v>454.786163</v>
      </c>
      <c r="C52" s="21">
        <v>454.786193</v>
      </c>
      <c r="D52" s="21">
        <v>454.786148</v>
      </c>
      <c r="E52" s="21">
        <v>454.786314</v>
      </c>
      <c r="F52" s="21">
        <v>454.786178</v>
      </c>
      <c r="G52" s="22">
        <f t="shared" si="1"/>
        <v>454.7861992</v>
      </c>
      <c r="H52" s="23">
        <f t="shared" si="2"/>
        <v>454.786148</v>
      </c>
      <c r="I52" s="23">
        <f t="shared" si="3"/>
        <v>454.786314</v>
      </c>
      <c r="J52" s="24">
        <f t="shared" si="4"/>
        <v>0.00005932756525</v>
      </c>
      <c r="L52" s="27" t="s">
        <v>650</v>
      </c>
      <c r="M52" s="27" t="s">
        <v>582</v>
      </c>
      <c r="N52" s="27" t="s">
        <v>651</v>
      </c>
      <c r="O52" s="27" t="s">
        <v>652</v>
      </c>
      <c r="P52" s="27" t="s">
        <v>539</v>
      </c>
      <c r="Q52" s="27" t="s">
        <v>653</v>
      </c>
      <c r="R52" s="27" t="s">
        <v>654</v>
      </c>
      <c r="S52" s="27" t="s">
        <v>639</v>
      </c>
      <c r="T52" s="27" t="s">
        <v>655</v>
      </c>
      <c r="U52" s="27" t="s">
        <v>656</v>
      </c>
      <c r="X52" s="28">
        <v>17.0</v>
      </c>
      <c r="Y52" s="29">
        <v>0.039</v>
      </c>
      <c r="Z52" s="30">
        <v>423.8</v>
      </c>
      <c r="AA52" s="29">
        <v>0.5713</v>
      </c>
      <c r="AB52" s="28" t="s">
        <v>657</v>
      </c>
      <c r="AD52" s="29">
        <v>0.1922</v>
      </c>
      <c r="AE52" s="28" t="s">
        <v>648</v>
      </c>
      <c r="AF52" s="29">
        <v>0.4666</v>
      </c>
      <c r="AG52" s="28" t="s">
        <v>658</v>
      </c>
      <c r="AI52" s="31"/>
      <c r="AJ52" s="31"/>
    </row>
    <row r="53" ht="22.5" customHeight="1">
      <c r="A53" s="21">
        <v>19.0</v>
      </c>
      <c r="B53" s="21">
        <v>457.536132</v>
      </c>
      <c r="C53" s="21">
        <v>457.255497</v>
      </c>
      <c r="D53" s="21">
        <v>457.485556</v>
      </c>
      <c r="E53" s="21">
        <v>457.485106</v>
      </c>
      <c r="F53" s="21">
        <v>457.077496</v>
      </c>
      <c r="G53" s="22">
        <f t="shared" si="1"/>
        <v>457.3679574</v>
      </c>
      <c r="H53" s="23">
        <f t="shared" si="2"/>
        <v>457.077496</v>
      </c>
      <c r="I53" s="23">
        <f t="shared" si="3"/>
        <v>457.536132</v>
      </c>
      <c r="J53" s="24">
        <f t="shared" si="4"/>
        <v>0.1748434087</v>
      </c>
      <c r="L53" s="27" t="s">
        <v>659</v>
      </c>
      <c r="M53" s="27" t="s">
        <v>581</v>
      </c>
      <c r="N53" s="27" t="s">
        <v>660</v>
      </c>
      <c r="O53" s="27" t="s">
        <v>561</v>
      </c>
      <c r="P53" s="27" t="s">
        <v>620</v>
      </c>
      <c r="Q53" s="27" t="s">
        <v>661</v>
      </c>
      <c r="R53" s="27" t="s">
        <v>662</v>
      </c>
      <c r="S53" s="27" t="s">
        <v>663</v>
      </c>
      <c r="T53" s="27" t="s">
        <v>664</v>
      </c>
      <c r="U53" s="27" t="s">
        <v>665</v>
      </c>
      <c r="X53" s="28">
        <v>18.0</v>
      </c>
      <c r="Y53" s="29">
        <v>0.0241</v>
      </c>
      <c r="Z53" s="30">
        <v>451.6</v>
      </c>
      <c r="AA53" s="29">
        <v>0.5638</v>
      </c>
      <c r="AB53" s="28" t="s">
        <v>666</v>
      </c>
      <c r="AD53" s="29">
        <v>0.4444</v>
      </c>
      <c r="AE53" s="28" t="s">
        <v>643</v>
      </c>
      <c r="AF53" s="29">
        <v>0.3357</v>
      </c>
      <c r="AG53" s="28" t="s">
        <v>667</v>
      </c>
      <c r="AI53" s="31"/>
      <c r="AJ53" s="31"/>
    </row>
    <row r="54" ht="22.5" customHeight="1">
      <c r="A54" s="21">
        <v>20.0</v>
      </c>
      <c r="B54" s="21">
        <v>454.521112</v>
      </c>
      <c r="C54" s="21">
        <v>454.733293</v>
      </c>
      <c r="D54" s="21">
        <v>454.958588</v>
      </c>
      <c r="E54" s="21">
        <v>454.517996</v>
      </c>
      <c r="F54" s="21">
        <v>454.977905</v>
      </c>
      <c r="G54" s="22">
        <f t="shared" si="1"/>
        <v>454.7417788</v>
      </c>
      <c r="H54" s="23">
        <f t="shared" si="2"/>
        <v>454.517996</v>
      </c>
      <c r="I54" s="23">
        <f t="shared" si="3"/>
        <v>454.977905</v>
      </c>
      <c r="J54" s="24">
        <f t="shared" si="4"/>
        <v>0.2008015929</v>
      </c>
      <c r="L54" s="27" t="s">
        <v>668</v>
      </c>
      <c r="M54" s="27" t="s">
        <v>669</v>
      </c>
      <c r="N54" s="27" t="s">
        <v>629</v>
      </c>
      <c r="O54" s="27" t="s">
        <v>551</v>
      </c>
      <c r="P54" s="27" t="s">
        <v>669</v>
      </c>
      <c r="Q54" s="27" t="s">
        <v>565</v>
      </c>
      <c r="R54" s="27" t="s">
        <v>662</v>
      </c>
      <c r="S54" s="27" t="s">
        <v>554</v>
      </c>
      <c r="T54" s="27" t="s">
        <v>670</v>
      </c>
      <c r="U54" s="27" t="s">
        <v>671</v>
      </c>
      <c r="X54" s="28">
        <v>19.0</v>
      </c>
      <c r="Y54" s="29">
        <v>0.0348</v>
      </c>
      <c r="Z54" s="30">
        <v>451.7</v>
      </c>
      <c r="AA54" s="29">
        <v>0.7076</v>
      </c>
      <c r="AB54" s="28" t="s">
        <v>672</v>
      </c>
      <c r="AD54" s="29">
        <v>0.5975</v>
      </c>
      <c r="AE54" s="28" t="s">
        <v>673</v>
      </c>
      <c r="AF54" s="29">
        <v>0.1555</v>
      </c>
      <c r="AG54" s="28" t="s">
        <v>667</v>
      </c>
      <c r="AI54" s="31"/>
      <c r="AJ54" s="31"/>
    </row>
    <row r="55" ht="22.5" customHeight="1">
      <c r="A55" s="21">
        <v>21.0</v>
      </c>
      <c r="B55" s="21">
        <v>606.732487</v>
      </c>
      <c r="C55" s="30">
        <v>606.44767</v>
      </c>
      <c r="D55" s="30">
        <v>606.444032</v>
      </c>
      <c r="E55" s="30">
        <v>606.324705</v>
      </c>
      <c r="F55" s="30">
        <v>606.444671</v>
      </c>
      <c r="G55" s="22">
        <f t="shared" si="1"/>
        <v>606.478713</v>
      </c>
      <c r="H55" s="23">
        <f t="shared" si="2"/>
        <v>606.324705</v>
      </c>
      <c r="I55" s="23">
        <f t="shared" si="3"/>
        <v>606.732487</v>
      </c>
      <c r="J55" s="24">
        <f t="shared" si="4"/>
        <v>0.1352368326</v>
      </c>
      <c r="L55" s="27" t="s">
        <v>596</v>
      </c>
      <c r="M55" s="27" t="s">
        <v>549</v>
      </c>
      <c r="N55" s="27" t="s">
        <v>611</v>
      </c>
      <c r="O55" s="27" t="s">
        <v>574</v>
      </c>
      <c r="P55" s="27" t="s">
        <v>613</v>
      </c>
      <c r="Q55" s="27" t="s">
        <v>565</v>
      </c>
      <c r="R55" s="27" t="s">
        <v>674</v>
      </c>
      <c r="S55" s="27" t="s">
        <v>541</v>
      </c>
      <c r="T55" s="27" t="s">
        <v>670</v>
      </c>
      <c r="U55" s="27" t="s">
        <v>671</v>
      </c>
      <c r="X55" s="28">
        <v>20.0</v>
      </c>
      <c r="Y55" s="29">
        <v>0.0225</v>
      </c>
      <c r="Z55" s="30">
        <v>452.2</v>
      </c>
      <c r="AA55" s="29">
        <v>0.7612</v>
      </c>
      <c r="AB55" s="28" t="s">
        <v>675</v>
      </c>
      <c r="AD55" s="29">
        <v>0.5306</v>
      </c>
      <c r="AE55" s="28" t="s">
        <v>676</v>
      </c>
      <c r="AF55" s="29">
        <v>0.5832</v>
      </c>
      <c r="AG55" s="28" t="s">
        <v>667</v>
      </c>
      <c r="AI55" s="31"/>
      <c r="AJ55" s="31"/>
    </row>
    <row r="56" ht="22.5" customHeight="1">
      <c r="A56" s="21">
        <v>22.0</v>
      </c>
      <c r="B56" s="21">
        <v>610.943171</v>
      </c>
      <c r="C56" s="30">
        <v>610.671708</v>
      </c>
      <c r="D56" s="30">
        <v>611.483302</v>
      </c>
      <c r="E56" s="30">
        <v>611.043047</v>
      </c>
      <c r="F56" s="30">
        <v>611.415759</v>
      </c>
      <c r="G56" s="22">
        <f t="shared" si="1"/>
        <v>611.1113974</v>
      </c>
      <c r="H56" s="23">
        <f t="shared" si="2"/>
        <v>610.671708</v>
      </c>
      <c r="I56" s="23">
        <f t="shared" si="3"/>
        <v>611.483302</v>
      </c>
      <c r="J56" s="24">
        <f t="shared" si="4"/>
        <v>0.3024062441</v>
      </c>
      <c r="L56" s="28" t="s">
        <v>677</v>
      </c>
      <c r="M56" s="28" t="s">
        <v>678</v>
      </c>
      <c r="N56" s="28" t="s">
        <v>660</v>
      </c>
      <c r="O56" s="28" t="s">
        <v>679</v>
      </c>
      <c r="P56" s="28" t="s">
        <v>560</v>
      </c>
      <c r="Q56" s="28" t="s">
        <v>589</v>
      </c>
      <c r="R56" s="28" t="s">
        <v>591</v>
      </c>
      <c r="S56" s="28" t="s">
        <v>541</v>
      </c>
      <c r="T56" s="28" t="s">
        <v>568</v>
      </c>
      <c r="U56" s="28" t="s">
        <v>568</v>
      </c>
      <c r="X56" s="28">
        <v>21.0</v>
      </c>
      <c r="Y56" s="29">
        <v>0.0471</v>
      </c>
      <c r="Z56" s="30">
        <v>445.6</v>
      </c>
      <c r="AA56" s="29">
        <v>0.4863</v>
      </c>
      <c r="AB56" s="28" t="s">
        <v>680</v>
      </c>
      <c r="AD56" s="29">
        <v>0.5998</v>
      </c>
      <c r="AE56" s="28" t="s">
        <v>681</v>
      </c>
      <c r="AF56" s="29">
        <v>0.4998</v>
      </c>
      <c r="AG56" s="28" t="s">
        <v>682</v>
      </c>
      <c r="AI56" s="31"/>
      <c r="AJ56" s="31"/>
    </row>
    <row r="57" ht="22.5" customHeight="1">
      <c r="A57" s="21">
        <v>23.0</v>
      </c>
      <c r="B57" s="21">
        <v>828.426203</v>
      </c>
      <c r="C57" s="30">
        <v>827.804463</v>
      </c>
      <c r="D57" s="30">
        <v>827.811479</v>
      </c>
      <c r="E57" s="30">
        <v>828.425181</v>
      </c>
      <c r="F57" s="30">
        <v>827.812418</v>
      </c>
      <c r="G57" s="22">
        <f t="shared" si="1"/>
        <v>828.0559488</v>
      </c>
      <c r="H57" s="23">
        <f t="shared" si="2"/>
        <v>827.804463</v>
      </c>
      <c r="I57" s="23">
        <f t="shared" si="3"/>
        <v>828.426203</v>
      </c>
      <c r="J57" s="24">
        <f t="shared" si="4"/>
        <v>0.301906751</v>
      </c>
      <c r="L57" s="28" t="s">
        <v>683</v>
      </c>
      <c r="M57" s="28" t="s">
        <v>628</v>
      </c>
      <c r="N57" s="28" t="s">
        <v>660</v>
      </c>
      <c r="O57" s="28" t="s">
        <v>553</v>
      </c>
      <c r="P57" s="28" t="s">
        <v>539</v>
      </c>
      <c r="Q57" s="28" t="s">
        <v>589</v>
      </c>
      <c r="R57" s="28" t="s">
        <v>591</v>
      </c>
      <c r="S57" s="28" t="s">
        <v>541</v>
      </c>
      <c r="T57" s="28" t="s">
        <v>591</v>
      </c>
      <c r="U57" s="28" t="s">
        <v>591</v>
      </c>
      <c r="X57" s="28">
        <v>22.0</v>
      </c>
      <c r="Y57" s="29">
        <v>0.0369</v>
      </c>
      <c r="Z57" s="30">
        <v>445.9</v>
      </c>
      <c r="AA57" s="29">
        <v>0.6896</v>
      </c>
      <c r="AB57" s="28" t="s">
        <v>684</v>
      </c>
      <c r="AD57" s="29">
        <v>0.55</v>
      </c>
      <c r="AE57" s="28" t="s">
        <v>685</v>
      </c>
      <c r="AF57" s="29">
        <v>0.2449</v>
      </c>
      <c r="AG57" s="28" t="s">
        <v>686</v>
      </c>
      <c r="AI57" s="31"/>
      <c r="AJ57" s="31"/>
    </row>
    <row r="58" ht="22.5" customHeight="1">
      <c r="A58" s="21">
        <v>24.0</v>
      </c>
      <c r="B58" s="21">
        <v>837.063765</v>
      </c>
      <c r="C58" s="30">
        <v>836.407033</v>
      </c>
      <c r="D58" s="30">
        <v>836.411013</v>
      </c>
      <c r="E58" s="30">
        <v>837.398547</v>
      </c>
      <c r="F58" s="30">
        <v>837.654916</v>
      </c>
      <c r="G58" s="22">
        <f t="shared" si="1"/>
        <v>836.9870548</v>
      </c>
      <c r="H58" s="23">
        <f t="shared" si="2"/>
        <v>836.407033</v>
      </c>
      <c r="I58" s="23">
        <f t="shared" si="3"/>
        <v>837.654916</v>
      </c>
      <c r="J58" s="24">
        <f t="shared" si="4"/>
        <v>0.5078382246</v>
      </c>
      <c r="L58" s="28" t="s">
        <v>687</v>
      </c>
      <c r="M58" s="28" t="s">
        <v>552</v>
      </c>
      <c r="N58" s="28" t="s">
        <v>620</v>
      </c>
      <c r="O58" s="28" t="s">
        <v>688</v>
      </c>
      <c r="P58" s="28" t="s">
        <v>689</v>
      </c>
      <c r="Q58" s="28" t="s">
        <v>565</v>
      </c>
      <c r="R58" s="28" t="s">
        <v>591</v>
      </c>
      <c r="S58" s="28" t="s">
        <v>541</v>
      </c>
      <c r="T58" s="28" t="s">
        <v>591</v>
      </c>
      <c r="U58" s="28" t="s">
        <v>568</v>
      </c>
      <c r="X58" s="28">
        <v>23.0</v>
      </c>
      <c r="Y58" s="29">
        <v>0.0286</v>
      </c>
      <c r="Z58" s="30">
        <v>449.1</v>
      </c>
      <c r="AA58" s="29">
        <v>0.45</v>
      </c>
      <c r="AB58" s="28" t="s">
        <v>690</v>
      </c>
      <c r="AD58" s="29">
        <v>0.8359</v>
      </c>
      <c r="AE58" s="28" t="s">
        <v>691</v>
      </c>
      <c r="AF58" s="29">
        <v>0.4266</v>
      </c>
      <c r="AG58" s="28" t="s">
        <v>692</v>
      </c>
      <c r="AI58" s="31"/>
      <c r="AJ58" s="31"/>
    </row>
    <row r="59" ht="22.5" customHeight="1">
      <c r="A59" s="21">
        <v>25.0</v>
      </c>
      <c r="B59" s="21">
        <v>1018.835442</v>
      </c>
      <c r="C59" s="30">
        <v>1018.82892</v>
      </c>
      <c r="D59" s="30">
        <v>1018.585649</v>
      </c>
      <c r="E59" s="30">
        <v>1018.991854</v>
      </c>
      <c r="F59" s="30">
        <v>1018.986336</v>
      </c>
      <c r="G59" s="22">
        <f t="shared" si="1"/>
        <v>1018.84564</v>
      </c>
      <c r="H59" s="23">
        <f t="shared" si="2"/>
        <v>1018.585649</v>
      </c>
      <c r="I59" s="23">
        <f t="shared" si="3"/>
        <v>1018.991854</v>
      </c>
      <c r="J59" s="24">
        <f t="shared" si="4"/>
        <v>0.1477516673</v>
      </c>
      <c r="L59" s="28" t="s">
        <v>650</v>
      </c>
      <c r="M59" s="28" t="s">
        <v>552</v>
      </c>
      <c r="N59" s="28" t="s">
        <v>587</v>
      </c>
      <c r="O59" s="28" t="s">
        <v>538</v>
      </c>
      <c r="P59" s="28" t="s">
        <v>629</v>
      </c>
      <c r="Q59" s="28" t="s">
        <v>565</v>
      </c>
      <c r="R59" s="28" t="s">
        <v>591</v>
      </c>
      <c r="S59" s="28" t="s">
        <v>541</v>
      </c>
      <c r="T59" s="28" t="s">
        <v>591</v>
      </c>
      <c r="U59" s="28" t="s">
        <v>568</v>
      </c>
      <c r="X59" s="28">
        <v>24.0</v>
      </c>
      <c r="Y59" s="29">
        <v>0.039</v>
      </c>
      <c r="Z59" s="30">
        <v>453.5</v>
      </c>
      <c r="AA59" s="29">
        <v>0.6511</v>
      </c>
      <c r="AB59" s="28" t="s">
        <v>690</v>
      </c>
      <c r="AD59" s="29">
        <v>0.6179</v>
      </c>
      <c r="AE59" s="28" t="s">
        <v>693</v>
      </c>
      <c r="AF59" s="29">
        <v>0.108</v>
      </c>
      <c r="AG59" s="28" t="s">
        <v>694</v>
      </c>
      <c r="AI59" s="31"/>
      <c r="AJ59" s="31"/>
    </row>
    <row r="60" ht="22.5" customHeight="1">
      <c r="I60" s="16"/>
      <c r="J60" s="16"/>
      <c r="L60" s="28" t="s">
        <v>563</v>
      </c>
      <c r="M60" s="28" t="s">
        <v>695</v>
      </c>
      <c r="N60" s="28" t="s">
        <v>604</v>
      </c>
      <c r="O60" s="28" t="s">
        <v>696</v>
      </c>
      <c r="P60" s="28" t="s">
        <v>537</v>
      </c>
      <c r="Q60" s="28" t="s">
        <v>589</v>
      </c>
      <c r="R60" s="28" t="s">
        <v>591</v>
      </c>
      <c r="S60" s="28" t="s">
        <v>554</v>
      </c>
      <c r="T60" s="28" t="s">
        <v>591</v>
      </c>
      <c r="U60" s="28" t="s">
        <v>591</v>
      </c>
      <c r="X60" s="28">
        <v>25.0</v>
      </c>
      <c r="Y60" s="29">
        <v>0.0614</v>
      </c>
      <c r="Z60" s="30">
        <v>441.4</v>
      </c>
      <c r="AA60" s="29">
        <v>0.7312</v>
      </c>
      <c r="AB60" s="28" t="s">
        <v>697</v>
      </c>
      <c r="AD60" s="29">
        <v>0.463</v>
      </c>
      <c r="AE60" s="28" t="s">
        <v>698</v>
      </c>
      <c r="AF60" s="29">
        <v>0.1946</v>
      </c>
      <c r="AG60" s="28" t="s">
        <v>699</v>
      </c>
      <c r="AI60" s="31"/>
      <c r="AJ60" s="31"/>
    </row>
    <row r="63">
      <c r="I63" s="16"/>
      <c r="J63" s="16"/>
    </row>
    <row r="64">
      <c r="I64" s="16"/>
      <c r="J64" s="16"/>
      <c r="AA64" s="32">
        <f>AVERAGE(AA56:AA60)</f>
        <v>0.60164</v>
      </c>
      <c r="AD64" s="32">
        <f>AVERAGE(Central_Node_Usage[CPU Opensearch Node 1 (%)])</f>
        <v>0.4559</v>
      </c>
      <c r="AF64" s="32">
        <f>MEDIAN(Central_Node_Usage[CPU Opensearch Node 1 (%)])</f>
        <v>0.463</v>
      </c>
      <c r="AG64" s="32">
        <v>0.4558999999999999</v>
      </c>
      <c r="AH64" s="32">
        <f>AVERAGE(Central_Node_Usage[CPU Opensearch Node 2])</f>
        <v>0.293792</v>
      </c>
      <c r="AI64" s="32">
        <v>0.37484600000000023</v>
      </c>
      <c r="AJ64" s="32">
        <f>AVERAGE(Message_Broker_Consums[CPU Logstash (%)])</f>
        <v>0.5585</v>
      </c>
    </row>
    <row r="65" ht="22.5" customHeight="1">
      <c r="A65" s="18" t="s">
        <v>700</v>
      </c>
      <c r="B65" s="18" t="s">
        <v>26</v>
      </c>
      <c r="C65" s="19" t="s">
        <v>27</v>
      </c>
      <c r="D65" s="19" t="s">
        <v>28</v>
      </c>
      <c r="E65" s="19" t="s">
        <v>29</v>
      </c>
      <c r="F65" s="19" t="s">
        <v>30</v>
      </c>
      <c r="G65" s="20" t="s">
        <v>514</v>
      </c>
      <c r="H65" s="20" t="s">
        <v>515</v>
      </c>
      <c r="I65" s="20" t="s">
        <v>516</v>
      </c>
      <c r="J65" s="20" t="s">
        <v>517</v>
      </c>
      <c r="L65" s="33" t="s">
        <v>701</v>
      </c>
      <c r="M65" s="34" t="s">
        <v>702</v>
      </c>
      <c r="N65" s="34" t="s">
        <v>703</v>
      </c>
      <c r="O65" s="34" t="s">
        <v>704</v>
      </c>
      <c r="P65" s="34" t="s">
        <v>705</v>
      </c>
      <c r="R65" s="35"/>
      <c r="S65" s="35"/>
      <c r="T65" s="35"/>
      <c r="U65" s="35"/>
      <c r="AD65" s="32">
        <f>AVERAGE(AD36:AD40)</f>
        <v>0.4559</v>
      </c>
      <c r="AG65" s="32">
        <v>0.4558999999999999</v>
      </c>
      <c r="AH65" s="32">
        <f>AVERAGE(Central_Node_Usage[CPU Opensearch Node 2])</f>
        <v>0.293792</v>
      </c>
      <c r="AI65" s="32">
        <v>0.37484600000000023</v>
      </c>
      <c r="AJ65" s="32">
        <f>AVERAGE(Message_Broker_Consums[CPU Logstash (%)])</f>
        <v>0.5585</v>
      </c>
    </row>
    <row r="66" ht="22.5" customHeight="1">
      <c r="A66" s="36">
        <v>1.0</v>
      </c>
      <c r="B66" s="37">
        <v>0.082248</v>
      </c>
      <c r="C66" s="37">
        <v>0.172784</v>
      </c>
      <c r="D66" s="37">
        <v>0.172724</v>
      </c>
      <c r="E66" s="37">
        <v>0.172724</v>
      </c>
      <c r="F66" s="38">
        <v>0.127105</v>
      </c>
      <c r="G66" s="22">
        <f t="shared" ref="G66:G90" si="5">AVERAGE(B66:F66)</f>
        <v>0.145517</v>
      </c>
      <c r="H66" s="21">
        <f t="shared" ref="H66:H90" si="6">MIN(B66:F66)</f>
        <v>0.082248</v>
      </c>
      <c r="I66" s="23">
        <f t="shared" ref="I66:I90" si="7">MAX(B66:F66)</f>
        <v>0.172784</v>
      </c>
      <c r="J66" s="24">
        <f t="shared" ref="J66:J90" si="8">_xlfn.STDEV.P(B66:F66)</f>
        <v>0.03623782304</v>
      </c>
      <c r="L66" s="39" t="s">
        <v>706</v>
      </c>
      <c r="M66" s="40">
        <f>AVERAGE(Averages_of_total_latencies_between_probes[Total Latency - S0])</f>
        <v>334.0617991</v>
      </c>
      <c r="N66" s="40">
        <f>MIN(Averages_of_total_latencies_between_probes[Total Latency - S0])</f>
        <v>1.130546</v>
      </c>
      <c r="O66" s="40">
        <f>MAX(Averages_of_total_latencies_between_probes[Total Latency - S0])</f>
        <v>1018.835442</v>
      </c>
      <c r="P66" s="41">
        <f>_xlfn.STDEV.P(Averages_of_total_latencies_between_probes[Total Latency - S0])</f>
        <v>284.7580565</v>
      </c>
      <c r="R66" s="35"/>
      <c r="S66" s="35"/>
      <c r="T66" s="35"/>
      <c r="U66" s="35"/>
      <c r="AG66" s="32">
        <v>0.4558999999999999</v>
      </c>
      <c r="AH66" s="32">
        <f>AVERAGE(Central_Node_Usage[CPU Opensearch Node 2])</f>
        <v>0.293792</v>
      </c>
      <c r="AI66" s="32">
        <v>0.37484600000000023</v>
      </c>
      <c r="AJ66" s="32">
        <f>AVERAGE(Message_Broker_Consums[CPU Logstash (%)])</f>
        <v>0.5585</v>
      </c>
    </row>
    <row r="67" ht="22.5" customHeight="1">
      <c r="A67" s="36">
        <v>2.0</v>
      </c>
      <c r="B67" s="37">
        <v>0.097827</v>
      </c>
      <c r="C67" s="37">
        <v>0.097758</v>
      </c>
      <c r="D67" s="37">
        <v>0.098713</v>
      </c>
      <c r="E67" s="37">
        <v>0.097918</v>
      </c>
      <c r="F67" s="38">
        <v>0.25175</v>
      </c>
      <c r="G67" s="22">
        <f t="shared" si="5"/>
        <v>0.1287932</v>
      </c>
      <c r="H67" s="21">
        <f t="shared" si="6"/>
        <v>0.097758</v>
      </c>
      <c r="I67" s="23">
        <f t="shared" si="7"/>
        <v>0.25175</v>
      </c>
      <c r="J67" s="24">
        <f t="shared" si="8"/>
        <v>0.06147936281</v>
      </c>
      <c r="L67" s="39" t="s">
        <v>707</v>
      </c>
      <c r="M67" s="40">
        <f>AVERAGE(Averages_of_total_latencies_between_probes[Total Latency - S2])</f>
        <v>335.2284217</v>
      </c>
      <c r="N67" s="40">
        <f>MIN(Averages_of_total_latencies_between_probes[Total Latency - S2])</f>
        <v>1.130167</v>
      </c>
      <c r="O67" s="40">
        <f>MAX(Averages_of_total_latencies_between_probes[Total Latency - S2])</f>
        <v>1018.585649</v>
      </c>
      <c r="P67" s="41">
        <f>_xlfn.STDEV.P(Averages_of_total_latencies_between_probes[Total Latency - S2])</f>
        <v>284.7332792</v>
      </c>
      <c r="R67" s="35"/>
      <c r="S67" s="35"/>
      <c r="T67" s="35"/>
      <c r="U67" s="35"/>
      <c r="X67" s="42" t="s">
        <v>1</v>
      </c>
      <c r="Y67" s="42" t="s">
        <v>708</v>
      </c>
      <c r="Z67" s="32">
        <f>MEDIAN(Message_Broker_Consums[CPU Logstash (%)])</f>
        <v>0.5713</v>
      </c>
      <c r="AA67" s="32">
        <f>MEDIAN(Message_Broker_Consums[CPU Kafka (%)])</f>
        <v>0.0369</v>
      </c>
      <c r="AG67" s="32">
        <v>0.4558999999999999</v>
      </c>
      <c r="AH67" s="32">
        <f>AVERAGE(Central_Node_Usage[CPU Opensearch Node 2])</f>
        <v>0.293792</v>
      </c>
      <c r="AI67" s="32">
        <v>0.37484600000000023</v>
      </c>
      <c r="AJ67" s="32">
        <f>AVERAGE(Message_Broker_Consums[CPU Logstash (%)])</f>
        <v>0.5585</v>
      </c>
    </row>
    <row r="68" ht="22.5" customHeight="1">
      <c r="A68" s="36">
        <v>3.0</v>
      </c>
      <c r="B68" s="37">
        <v>0.108987</v>
      </c>
      <c r="C68" s="37">
        <v>0.108987</v>
      </c>
      <c r="D68" s="37">
        <v>0.113822</v>
      </c>
      <c r="E68" s="37">
        <v>0.108987</v>
      </c>
      <c r="F68" s="38">
        <v>0.004206</v>
      </c>
      <c r="G68" s="22">
        <f t="shared" si="5"/>
        <v>0.0889978</v>
      </c>
      <c r="H68" s="21">
        <f t="shared" si="6"/>
        <v>0.004206</v>
      </c>
      <c r="I68" s="23">
        <f t="shared" si="7"/>
        <v>0.113822</v>
      </c>
      <c r="J68" s="24">
        <f t="shared" si="8"/>
        <v>0.04243723507</v>
      </c>
      <c r="L68" s="39" t="s">
        <v>709</v>
      </c>
      <c r="M68" s="40">
        <f>AVERAGE(Averages_of_total_latencies_between_probes[Total Latency - S4])</f>
        <v>335.9047296</v>
      </c>
      <c r="N68" s="40">
        <f>MIN(Averages_of_total_latencies_between_probes[Total Latency - S4])</f>
        <v>1.130095</v>
      </c>
      <c r="O68" s="40">
        <f>MAX(Averages_of_total_latencies_between_probes[Total Latency - S4])</f>
        <v>1018.986336</v>
      </c>
      <c r="P68" s="41">
        <f>_xlfn.STDEV.P(Averages_of_total_latencies_between_probes[Total Latency - S4])</f>
        <v>285.0020796</v>
      </c>
      <c r="R68" s="35"/>
      <c r="S68" s="35"/>
      <c r="T68" s="35"/>
      <c r="U68" s="35"/>
      <c r="X68" s="42" t="s">
        <v>710</v>
      </c>
      <c r="Y68" s="32">
        <f>AVERAGE(AA36:AA40)</f>
        <v>0.43098</v>
      </c>
      <c r="Z68" s="32">
        <f>MIN(Message_Broker_Consums[CPU Logstash (%)])</f>
        <v>0.2435</v>
      </c>
      <c r="AA68" s="32">
        <f>MIN(Message_Broker_Consums[CPU Kafka (%)])</f>
        <v>0.0219</v>
      </c>
      <c r="AG68" s="32">
        <v>0.4558999999999999</v>
      </c>
      <c r="AH68" s="32">
        <f>AVERAGE(Central_Node_Usage[CPU Opensearch Node 2])</f>
        <v>0.293792</v>
      </c>
      <c r="AI68" s="32">
        <v>0.37484600000000023</v>
      </c>
      <c r="AJ68" s="32">
        <f>AVERAGE(Message_Broker_Consums[CPU Logstash (%)])</f>
        <v>0.5585</v>
      </c>
    </row>
    <row r="69" ht="22.5" customHeight="1">
      <c r="A69" s="36">
        <v>4.0</v>
      </c>
      <c r="B69" s="37">
        <v>0.105724</v>
      </c>
      <c r="C69" s="37">
        <v>0.105724</v>
      </c>
      <c r="D69" s="37">
        <v>0.105724</v>
      </c>
      <c r="E69" s="37">
        <v>0.105724</v>
      </c>
      <c r="F69" s="38">
        <v>0.105724</v>
      </c>
      <c r="G69" s="22">
        <f t="shared" si="5"/>
        <v>0.105724</v>
      </c>
      <c r="H69" s="23">
        <f t="shared" si="6"/>
        <v>0.105724</v>
      </c>
      <c r="I69" s="23">
        <f t="shared" si="7"/>
        <v>0.105724</v>
      </c>
      <c r="J69" s="24">
        <f t="shared" si="8"/>
        <v>0</v>
      </c>
      <c r="L69" s="39" t="s">
        <v>711</v>
      </c>
      <c r="M69" s="40">
        <f>AVERAGE(Averages_of_total_latencies_between_probes[Total Latency - S3])</f>
        <v>338.0531122</v>
      </c>
      <c r="N69" s="40">
        <f>MIN(Averages_of_total_latencies_between_probes[Total Latency - S3])</f>
        <v>1.129883</v>
      </c>
      <c r="O69" s="40">
        <f>MAX(Averages_of_total_latencies_between_probes[Total Latency - S3])</f>
        <v>1018.991854</v>
      </c>
      <c r="P69" s="41">
        <f>_xlfn.STDEV.P(Averages_of_total_latencies_between_probes[Total Latency - S3])</f>
        <v>285.0307811</v>
      </c>
      <c r="R69" s="35"/>
      <c r="S69" s="35"/>
      <c r="T69" s="35"/>
      <c r="U69" s="35"/>
      <c r="X69" s="42" t="s">
        <v>712</v>
      </c>
      <c r="Y69" s="32">
        <f>AVERAGE(AA41:AA45)</f>
        <v>0.66014</v>
      </c>
      <c r="Z69" s="32">
        <f>MAX(Message_Broker_Consums[CPU Logstash (%)])</f>
        <v>0.8158</v>
      </c>
      <c r="AA69" s="32">
        <f>MAX(Message_Broker_Consums[CPU Kafka (%)])</f>
        <v>0.0752</v>
      </c>
      <c r="AG69" s="32">
        <v>0.4558999999999999</v>
      </c>
      <c r="AH69" s="32">
        <f>AVERAGE(Central_Node_Usage[CPU Opensearch Node 2])</f>
        <v>0.293792</v>
      </c>
      <c r="AI69" s="32">
        <v>0.37484600000000023</v>
      </c>
      <c r="AJ69" s="32">
        <f>AVERAGE(Message_Broker_Consums[CPU Logstash (%)])</f>
        <v>0.5585</v>
      </c>
    </row>
    <row r="70" ht="22.5" customHeight="1">
      <c r="A70" s="36">
        <v>5.0</v>
      </c>
      <c r="B70" s="37">
        <v>0.12326</v>
      </c>
      <c r="C70" s="37">
        <v>0.261964</v>
      </c>
      <c r="D70" s="37">
        <v>0.161009</v>
      </c>
      <c r="E70" s="37">
        <v>0.161009</v>
      </c>
      <c r="F70" s="38">
        <v>0.12326</v>
      </c>
      <c r="G70" s="22">
        <f t="shared" si="5"/>
        <v>0.1661004</v>
      </c>
      <c r="H70" s="23">
        <f t="shared" si="6"/>
        <v>0.12326</v>
      </c>
      <c r="I70" s="23">
        <f t="shared" si="7"/>
        <v>0.261964</v>
      </c>
      <c r="J70" s="24">
        <f t="shared" si="8"/>
        <v>0.05081785957</v>
      </c>
      <c r="K70" s="35"/>
      <c r="L70" s="39" t="s">
        <v>713</v>
      </c>
      <c r="M70" s="40">
        <f>AVERAGE(Averages_of_total_latencies_between_probes[Total Latency - S1])</f>
        <v>338.9616187</v>
      </c>
      <c r="N70" s="40">
        <f>MIN(Averages_of_total_latencies_between_probes[Total Latency - S1])</f>
        <v>1.129702</v>
      </c>
      <c r="O70" s="40">
        <f>MAX(Averages_of_total_latencies_between_probes[Total Latency - S1])</f>
        <v>1018.82892</v>
      </c>
      <c r="P70" s="41">
        <f>_xlfn.STDEV.P(Averages_of_total_latencies_between_probes[Total Latency - S1])</f>
        <v>285.1128859</v>
      </c>
      <c r="R70" s="35"/>
      <c r="S70" s="35"/>
      <c r="T70" s="35"/>
      <c r="U70" s="35"/>
      <c r="X70" s="42" t="s">
        <v>714</v>
      </c>
      <c r="Y70" s="32">
        <f>AVERAGE(AA46:AA50)</f>
        <v>0.44632</v>
      </c>
      <c r="AG70" s="32">
        <v>0.4558999999999999</v>
      </c>
      <c r="AH70" s="32">
        <f>AVERAGE(Central_Node_Usage[CPU Opensearch Node 2])</f>
        <v>0.293792</v>
      </c>
      <c r="AI70" s="32">
        <v>0.37484600000000023</v>
      </c>
      <c r="AJ70" s="32">
        <f>AVERAGE(Message_Broker_Consums[CPU Logstash (%)])</f>
        <v>0.5585</v>
      </c>
    </row>
    <row r="71" ht="22.5" customHeight="1">
      <c r="A71" s="36">
        <v>6.0</v>
      </c>
      <c r="B71" s="37">
        <v>0.141364</v>
      </c>
      <c r="C71" s="37">
        <v>0.141364</v>
      </c>
      <c r="D71" s="37">
        <v>0.141364</v>
      </c>
      <c r="E71" s="37">
        <v>0.141364</v>
      </c>
      <c r="F71" s="38">
        <v>0.141364</v>
      </c>
      <c r="G71" s="22">
        <f t="shared" si="5"/>
        <v>0.141364</v>
      </c>
      <c r="H71" s="23">
        <f t="shared" si="6"/>
        <v>0.141364</v>
      </c>
      <c r="I71" s="23">
        <f t="shared" si="7"/>
        <v>0.141364</v>
      </c>
      <c r="J71" s="24">
        <f t="shared" si="8"/>
        <v>0</v>
      </c>
      <c r="K71" s="35"/>
      <c r="P71" s="35"/>
      <c r="Q71" s="35"/>
      <c r="R71" s="35"/>
      <c r="S71" s="35"/>
      <c r="T71" s="35"/>
      <c r="X71" s="42" t="s">
        <v>715</v>
      </c>
      <c r="Y71" s="32">
        <f>AVERAGE(AA51:AA55)</f>
        <v>0.65342</v>
      </c>
      <c r="AA71" s="43">
        <f>MEDIAN(Message_Broker_Consums[Ram Kafka (MiB)])</f>
        <v>217.8</v>
      </c>
      <c r="AG71" s="32">
        <v>0.4558999999999999</v>
      </c>
      <c r="AH71" s="32">
        <f>AVERAGE(Central_Node_Usage[CPU Opensearch Node 2])</f>
        <v>0.293792</v>
      </c>
      <c r="AI71" s="32">
        <v>0.37484600000000023</v>
      </c>
      <c r="AJ71" s="32">
        <f>AVERAGE(Message_Broker_Consums[CPU Logstash (%)])</f>
        <v>0.5585</v>
      </c>
    </row>
    <row r="72" ht="22.5" customHeight="1">
      <c r="A72" s="36">
        <v>7.0</v>
      </c>
      <c r="B72" s="37">
        <v>0.128928</v>
      </c>
      <c r="C72" s="37">
        <v>0.128928</v>
      </c>
      <c r="D72" s="37">
        <v>0.054223</v>
      </c>
      <c r="E72" s="37">
        <v>0.043249</v>
      </c>
      <c r="F72" s="38">
        <v>0.128928</v>
      </c>
      <c r="G72" s="22">
        <f t="shared" si="5"/>
        <v>0.0968512</v>
      </c>
      <c r="H72" s="23">
        <f t="shared" si="6"/>
        <v>0.043249</v>
      </c>
      <c r="I72" s="23">
        <f t="shared" si="7"/>
        <v>0.128928</v>
      </c>
      <c r="J72" s="24">
        <f t="shared" si="8"/>
        <v>0.03943887061</v>
      </c>
      <c r="K72" s="35"/>
      <c r="Q72" s="35"/>
      <c r="R72" s="35"/>
      <c r="S72" s="35"/>
      <c r="T72" s="35"/>
      <c r="X72" s="42" t="s">
        <v>716</v>
      </c>
      <c r="Y72" s="32">
        <f>AVERAGE(AA56:AA60)</f>
        <v>0.60164</v>
      </c>
      <c r="AA72" s="43">
        <f>MIN(Message_Broker_Consums[Ram Kafka (MiB)])</f>
        <v>153.9</v>
      </c>
      <c r="AG72" s="32">
        <v>0.4558999999999999</v>
      </c>
      <c r="AH72" s="32">
        <f>AVERAGE(Central_Node_Usage[CPU Opensearch Node 2])</f>
        <v>0.293792</v>
      </c>
      <c r="AI72" s="32">
        <v>0.37484600000000023</v>
      </c>
      <c r="AJ72" s="32">
        <f>AVERAGE(Message_Broker_Consums[CPU Logstash (%)])</f>
        <v>0.5585</v>
      </c>
    </row>
    <row r="73" ht="22.5" customHeight="1">
      <c r="A73" s="36">
        <v>8.0</v>
      </c>
      <c r="B73" s="37">
        <v>0.122842</v>
      </c>
      <c r="C73" s="37">
        <v>0.122842</v>
      </c>
      <c r="D73" s="37">
        <v>0.082058</v>
      </c>
      <c r="E73" s="37">
        <v>0.139321</v>
      </c>
      <c r="F73" s="38">
        <v>0.109363</v>
      </c>
      <c r="G73" s="22">
        <f t="shared" si="5"/>
        <v>0.1152852</v>
      </c>
      <c r="H73" s="23">
        <f t="shared" si="6"/>
        <v>0.082058</v>
      </c>
      <c r="I73" s="23">
        <f t="shared" si="7"/>
        <v>0.139321</v>
      </c>
      <c r="J73" s="24">
        <f t="shared" si="8"/>
        <v>0.01913661102</v>
      </c>
      <c r="K73" s="35"/>
      <c r="L73" s="33" t="s">
        <v>701</v>
      </c>
      <c r="M73" s="34" t="s">
        <v>702</v>
      </c>
      <c r="N73" s="34" t="s">
        <v>703</v>
      </c>
      <c r="O73" s="34" t="s">
        <v>704</v>
      </c>
      <c r="P73" s="34" t="s">
        <v>705</v>
      </c>
      <c r="Q73" s="35"/>
      <c r="R73" s="35"/>
      <c r="S73" s="35"/>
      <c r="T73" s="35"/>
      <c r="AA73" s="43">
        <f>MAX(Message_Broker_Consums[Ram Kafka (MiB)])</f>
        <v>453.5</v>
      </c>
      <c r="AG73" s="32">
        <v>0.4558999999999999</v>
      </c>
      <c r="AH73" s="32">
        <f>AVERAGE(Central_Node_Usage[CPU Opensearch Node 2])</f>
        <v>0.293792</v>
      </c>
      <c r="AI73" s="32">
        <v>0.37484600000000023</v>
      </c>
      <c r="AJ73" s="32">
        <f>AVERAGE(Message_Broker_Consums[CPU Logstash (%)])</f>
        <v>0.5585</v>
      </c>
    </row>
    <row r="74" ht="22.5" customHeight="1">
      <c r="A74" s="36">
        <v>9.0</v>
      </c>
      <c r="B74" s="37">
        <v>0.102574</v>
      </c>
      <c r="C74" s="37">
        <v>0.104431</v>
      </c>
      <c r="D74" s="37">
        <v>0.104431</v>
      </c>
      <c r="E74" s="37">
        <v>0.20815</v>
      </c>
      <c r="F74" s="38">
        <v>0.104431</v>
      </c>
      <c r="G74" s="22">
        <f t="shared" si="5"/>
        <v>0.1248034</v>
      </c>
      <c r="H74" s="23">
        <f t="shared" si="6"/>
        <v>0.102574</v>
      </c>
      <c r="I74" s="23">
        <f t="shared" si="7"/>
        <v>0.20815</v>
      </c>
      <c r="J74" s="24">
        <f t="shared" si="8"/>
        <v>0.04167950576</v>
      </c>
      <c r="K74" s="35"/>
      <c r="L74" s="39" t="s">
        <v>706</v>
      </c>
      <c r="M74" s="40">
        <f>AVERAGE(Average_indexing_latencies_between_probes[Indexing Latency  - S0])</f>
        <v>333.9549134</v>
      </c>
      <c r="N74" s="40">
        <f>MIN(Average_indexing_latencies_between_probes[Indexing Latency  - S0])</f>
        <v>1.048298</v>
      </c>
      <c r="O74" s="40">
        <f>MAX(Average_indexing_latencies_between_probes[Indexing Latency  - S0])</f>
        <v>1018.75201</v>
      </c>
      <c r="P74" s="41">
        <f>_xlfn.STDEV.P(Average_indexing_latencies_between_probes[Indexing Latency  - S0])</f>
        <v>284.7621474</v>
      </c>
      <c r="Q74" s="35"/>
      <c r="R74" s="35"/>
      <c r="S74" s="35"/>
      <c r="T74" s="35"/>
      <c r="AG74" s="32">
        <v>0.4558999999999999</v>
      </c>
      <c r="AH74" s="32">
        <f>AVERAGE(Central_Node_Usage[CPU Opensearch Node 2])</f>
        <v>0.293792</v>
      </c>
      <c r="AI74" s="32">
        <v>0.37484600000000023</v>
      </c>
      <c r="AJ74" s="32">
        <f>AVERAGE(Message_Broker_Consums[CPU Logstash (%)])</f>
        <v>0.5585</v>
      </c>
    </row>
    <row r="75" ht="22.5" customHeight="1">
      <c r="A75" s="36">
        <v>10.0</v>
      </c>
      <c r="B75" s="37">
        <v>0.087881</v>
      </c>
      <c r="C75" s="37">
        <v>0.087881</v>
      </c>
      <c r="D75" s="37">
        <v>0.087881</v>
      </c>
      <c r="E75" s="37">
        <v>0.087881</v>
      </c>
      <c r="F75" s="38">
        <v>0.049984</v>
      </c>
      <c r="G75" s="22">
        <f t="shared" si="5"/>
        <v>0.0803016</v>
      </c>
      <c r="H75" s="23">
        <f t="shared" si="6"/>
        <v>0.049984</v>
      </c>
      <c r="I75" s="23">
        <f t="shared" si="7"/>
        <v>0.087881</v>
      </c>
      <c r="J75" s="24">
        <f t="shared" si="8"/>
        <v>0.0151588</v>
      </c>
      <c r="K75" s="35"/>
      <c r="L75" s="39" t="s">
        <v>707</v>
      </c>
      <c r="M75" s="40">
        <f>AVERAGE(Average_indexing_latencies_between_probes[Indexing Latency - S2])</f>
        <v>335.1170996</v>
      </c>
      <c r="N75" s="40">
        <f>MIN(Average_indexing_latencies_between_probes[Indexing Latency - S2])</f>
        <v>0.957443</v>
      </c>
      <c r="O75" s="40">
        <f>MAX(Average_indexing_latencies_between_probes[Indexing Latency - S2])</f>
        <v>1018.502217</v>
      </c>
      <c r="P75" s="41">
        <f>_xlfn.STDEV.P(Average_indexing_latencies_between_probes[Indexing Latency - S2])</f>
        <v>284.7357925</v>
      </c>
      <c r="Q75" s="35"/>
      <c r="R75" s="35"/>
      <c r="S75" s="35"/>
      <c r="T75" s="35"/>
      <c r="AG75" s="32">
        <v>0.4558999999999999</v>
      </c>
      <c r="AH75" s="32">
        <f>AVERAGE(Central_Node_Usage[CPU Opensearch Node 2])</f>
        <v>0.293792</v>
      </c>
      <c r="AI75" s="32">
        <v>0.37484600000000023</v>
      </c>
      <c r="AJ75" s="32">
        <f>AVERAGE(Message_Broker_Consums[CPU Logstash (%)])</f>
        <v>0.5585</v>
      </c>
    </row>
    <row r="76" ht="22.5" customHeight="1">
      <c r="A76" s="36">
        <v>11.0</v>
      </c>
      <c r="B76" s="37">
        <v>0.081772</v>
      </c>
      <c r="C76" s="37">
        <v>0.081772</v>
      </c>
      <c r="D76" s="37">
        <v>0.058349</v>
      </c>
      <c r="E76" s="37">
        <v>0.081772</v>
      </c>
      <c r="F76" s="38">
        <v>0.081772</v>
      </c>
      <c r="G76" s="22">
        <f t="shared" si="5"/>
        <v>0.0770874</v>
      </c>
      <c r="H76" s="23">
        <f t="shared" si="6"/>
        <v>0.058349</v>
      </c>
      <c r="I76" s="23">
        <f t="shared" si="7"/>
        <v>0.081772</v>
      </c>
      <c r="J76" s="24">
        <f t="shared" si="8"/>
        <v>0.0093692</v>
      </c>
      <c r="K76" s="35"/>
      <c r="L76" s="39" t="s">
        <v>709</v>
      </c>
      <c r="M76" s="40">
        <f>AVERAGE(Average_indexing_latencies_between_probes[Indexing Latency - S4])</f>
        <v>335.7898416</v>
      </c>
      <c r="N76" s="40">
        <f>MIN(Average_indexing_latencies_between_probes[Indexing Latency - S4])</f>
        <v>1.00299</v>
      </c>
      <c r="O76" s="40">
        <f>MAX(Average_indexing_latencies_between_probes[Indexing Latency - S4])</f>
        <v>1018.902904</v>
      </c>
      <c r="P76" s="41">
        <f>_xlfn.STDEV.P(Average_indexing_latencies_between_probes[Indexing Latency - S4])</f>
        <v>284.9949346</v>
      </c>
      <c r="Q76" s="35"/>
      <c r="R76" s="35"/>
      <c r="S76" s="35"/>
      <c r="T76" s="35"/>
      <c r="AG76" s="32">
        <v>0.4558999999999999</v>
      </c>
      <c r="AH76" s="32">
        <f>AVERAGE(Central_Node_Usage[CPU Opensearch Node 2])</f>
        <v>0.293792</v>
      </c>
      <c r="AI76" s="32">
        <v>0.37484600000000023</v>
      </c>
      <c r="AJ76" s="32">
        <f>AVERAGE(Message_Broker_Consums[CPU Logstash (%)])</f>
        <v>0.5585</v>
      </c>
    </row>
    <row r="77" ht="22.5" customHeight="1">
      <c r="A77" s="36">
        <v>12.0</v>
      </c>
      <c r="B77" s="37">
        <v>0.152071</v>
      </c>
      <c r="C77" s="37">
        <v>0.102552</v>
      </c>
      <c r="D77" s="37">
        <v>0.152071</v>
      </c>
      <c r="E77" s="37">
        <v>0.152071</v>
      </c>
      <c r="F77" s="38">
        <v>0.052423</v>
      </c>
      <c r="G77" s="22">
        <f t="shared" si="5"/>
        <v>0.1222376</v>
      </c>
      <c r="H77" s="23">
        <f t="shared" si="6"/>
        <v>0.052423</v>
      </c>
      <c r="I77" s="23">
        <f t="shared" si="7"/>
        <v>0.152071</v>
      </c>
      <c r="J77" s="24">
        <f t="shared" si="8"/>
        <v>0.03982887517</v>
      </c>
      <c r="K77" s="35"/>
      <c r="L77" s="39" t="s">
        <v>711</v>
      </c>
      <c r="M77" s="40">
        <f>AVERAGE(Average_indexing_latencies_between_probes[Indexing Latency - S3])</f>
        <v>337.939979</v>
      </c>
      <c r="N77" s="40">
        <f>MIN(Average_indexing_latencies_between_probes[Indexing Latency - S3])</f>
        <v>0.957159</v>
      </c>
      <c r="O77" s="40">
        <f>MAX(Average_indexing_latencies_between_probes[Indexing Latency - S3])</f>
        <v>1018.908422</v>
      </c>
      <c r="P77" s="41">
        <f>_xlfn.STDEV.P(Average_indexing_latencies_between_probes[Indexing Latency - S3])</f>
        <v>285.0394831</v>
      </c>
      <c r="Q77" s="35"/>
      <c r="R77" s="35"/>
      <c r="S77" s="35"/>
      <c r="T77" s="35"/>
      <c r="AG77" s="32">
        <v>0.4558999999999999</v>
      </c>
      <c r="AH77" s="32">
        <f>AVERAGE(Central_Node_Usage[CPU Opensearch Node 2])</f>
        <v>0.293792</v>
      </c>
      <c r="AI77" s="32">
        <v>0.37484600000000023</v>
      </c>
      <c r="AJ77" s="32">
        <f>AVERAGE(Message_Broker_Consums[CPU Logstash (%)])</f>
        <v>0.5585</v>
      </c>
    </row>
    <row r="78" ht="22.5" customHeight="1">
      <c r="A78" s="36">
        <v>13.0</v>
      </c>
      <c r="B78" s="37">
        <v>0.126118</v>
      </c>
      <c r="C78" s="37">
        <v>0.126118</v>
      </c>
      <c r="D78" s="37">
        <v>0.126118</v>
      </c>
      <c r="E78" s="37">
        <v>0.126118</v>
      </c>
      <c r="F78" s="38">
        <v>0.126118</v>
      </c>
      <c r="G78" s="22">
        <f t="shared" si="5"/>
        <v>0.126118</v>
      </c>
      <c r="H78" s="23">
        <f t="shared" si="6"/>
        <v>0.126118</v>
      </c>
      <c r="I78" s="23">
        <f t="shared" si="7"/>
        <v>0.126118</v>
      </c>
      <c r="J78" s="24">
        <f t="shared" si="8"/>
        <v>0</v>
      </c>
      <c r="K78" s="35"/>
      <c r="L78" s="39" t="s">
        <v>713</v>
      </c>
      <c r="M78" s="40">
        <f>AVERAGE(Average_indexing_latencies_between_probes[Indexing Latency - S1])</f>
        <v>338.8483802</v>
      </c>
      <c r="N78" s="40">
        <f>MIN(Average_indexing_latencies_between_probes[Indexing Latency - S1])</f>
        <v>0.956918</v>
      </c>
      <c r="O78" s="40">
        <f>MAX(Average_indexing_latencies_between_probes[Indexing Latency - S1])</f>
        <v>1018.745488</v>
      </c>
      <c r="P78" s="41">
        <f>_xlfn.STDEV.P(Average_indexing_latencies_between_probes[Indexing Latency - S1])</f>
        <v>285.116913</v>
      </c>
      <c r="Q78" s="35"/>
      <c r="R78" s="35"/>
      <c r="S78" s="35"/>
      <c r="T78" s="35"/>
      <c r="AG78" s="32">
        <v>0.4558999999999999</v>
      </c>
      <c r="AH78" s="32">
        <f>AVERAGE(Central_Node_Usage[CPU Opensearch Node 2])</f>
        <v>0.293792</v>
      </c>
      <c r="AI78" s="32">
        <v>0.37484600000000023</v>
      </c>
      <c r="AJ78" s="32">
        <f>AVERAGE(Message_Broker_Consums[CPU Logstash (%)])</f>
        <v>0.5585</v>
      </c>
    </row>
    <row r="79" ht="22.5" customHeight="1">
      <c r="A79" s="36">
        <v>14.0</v>
      </c>
      <c r="B79" s="37">
        <v>0.112257</v>
      </c>
      <c r="C79" s="37">
        <v>0.083516</v>
      </c>
      <c r="D79" s="37">
        <v>0.112257</v>
      </c>
      <c r="E79" s="37">
        <v>0.112257</v>
      </c>
      <c r="F79" s="38">
        <v>0.083159</v>
      </c>
      <c r="G79" s="22">
        <f t="shared" si="5"/>
        <v>0.1006892</v>
      </c>
      <c r="H79" s="23">
        <f t="shared" si="6"/>
        <v>0.083159</v>
      </c>
      <c r="I79" s="23">
        <f t="shared" si="7"/>
        <v>0.112257</v>
      </c>
      <c r="J79" s="24">
        <f t="shared" si="8"/>
        <v>0.01416805351</v>
      </c>
      <c r="K79" s="35"/>
      <c r="P79" s="35"/>
      <c r="Q79" s="35"/>
      <c r="R79" s="35"/>
      <c r="S79" s="35"/>
      <c r="T79" s="35"/>
      <c r="AG79" s="32">
        <v>0.4558999999999999</v>
      </c>
      <c r="AH79" s="32">
        <f>AVERAGE(Central_Node_Usage[CPU Opensearch Node 2])</f>
        <v>0.293792</v>
      </c>
      <c r="AI79" s="32">
        <v>0.37484600000000023</v>
      </c>
      <c r="AJ79" s="32">
        <f>AVERAGE(Message_Broker_Consums[CPU Logstash (%)])</f>
        <v>0.5585</v>
      </c>
    </row>
    <row r="80" ht="22.5" customHeight="1">
      <c r="A80" s="36">
        <v>15.0</v>
      </c>
      <c r="B80" s="37">
        <v>0.135021</v>
      </c>
      <c r="C80" s="37">
        <v>0.135021</v>
      </c>
      <c r="D80" s="37">
        <v>0.135021</v>
      </c>
      <c r="E80" s="37">
        <v>0.135021</v>
      </c>
      <c r="F80" s="38">
        <v>0.135021</v>
      </c>
      <c r="G80" s="22">
        <f t="shared" si="5"/>
        <v>0.135021</v>
      </c>
      <c r="H80" s="23">
        <f t="shared" si="6"/>
        <v>0.135021</v>
      </c>
      <c r="I80" s="23">
        <f t="shared" si="7"/>
        <v>0.135021</v>
      </c>
      <c r="J80" s="24">
        <f t="shared" si="8"/>
        <v>0</v>
      </c>
      <c r="K80" s="35"/>
      <c r="Q80" s="35"/>
      <c r="R80" s="35"/>
      <c r="S80" s="35"/>
      <c r="T80" s="35"/>
      <c r="AD80" s="32">
        <f>AVERAGE(Central_Node_Usage[CPU Opensearch Node 1 (%)],Central_Node_Usage[CPU Opensearch Node 2])</f>
        <v>0.374846</v>
      </c>
      <c r="AG80" s="32">
        <v>0.4558999999999999</v>
      </c>
      <c r="AH80" s="32">
        <f>AVERAGE(Central_Node_Usage[CPU Opensearch Node 2])</f>
        <v>0.293792</v>
      </c>
      <c r="AI80" s="32">
        <v>0.37484600000000023</v>
      </c>
      <c r="AJ80" s="32">
        <f>AVERAGE(Message_Broker_Consums[CPU Logstash (%)])</f>
        <v>0.5585</v>
      </c>
    </row>
    <row r="81" ht="22.5" customHeight="1">
      <c r="A81" s="36">
        <v>16.0</v>
      </c>
      <c r="B81" s="37">
        <v>0.072543</v>
      </c>
      <c r="C81" s="37">
        <v>0.07189</v>
      </c>
      <c r="D81" s="37">
        <v>0.033362</v>
      </c>
      <c r="E81" s="37">
        <v>0.07189</v>
      </c>
      <c r="F81" s="38">
        <v>0.047549</v>
      </c>
      <c r="G81" s="22">
        <f t="shared" si="5"/>
        <v>0.0594468</v>
      </c>
      <c r="H81" s="23">
        <f t="shared" si="6"/>
        <v>0.033362</v>
      </c>
      <c r="I81" s="23">
        <f t="shared" si="7"/>
        <v>0.072543</v>
      </c>
      <c r="J81" s="24">
        <f t="shared" si="8"/>
        <v>0.01614404747</v>
      </c>
      <c r="K81" s="35"/>
      <c r="L81" s="33" t="s">
        <v>701</v>
      </c>
      <c r="M81" s="34" t="s">
        <v>702</v>
      </c>
      <c r="N81" s="34" t="s">
        <v>703</v>
      </c>
      <c r="O81" s="34" t="s">
        <v>704</v>
      </c>
      <c r="P81" s="34" t="s">
        <v>705</v>
      </c>
      <c r="Q81" s="35"/>
      <c r="R81" s="35"/>
      <c r="S81" s="35"/>
      <c r="T81" s="35"/>
      <c r="AG81" s="32">
        <v>0.4558999999999999</v>
      </c>
      <c r="AH81" s="32">
        <f>AVERAGE(Central_Node_Usage[CPU Opensearch Node 2])</f>
        <v>0.293792</v>
      </c>
      <c r="AI81" s="32">
        <v>0.37484600000000023</v>
      </c>
      <c r="AJ81" s="32">
        <f>AVERAGE(Message_Broker_Consums[CPU Logstash (%)])</f>
        <v>0.5585</v>
      </c>
    </row>
    <row r="82" ht="22.5" customHeight="1">
      <c r="A82" s="36">
        <v>17.0</v>
      </c>
      <c r="B82" s="37">
        <v>0.263132</v>
      </c>
      <c r="C82" s="37">
        <v>0.140731</v>
      </c>
      <c r="D82" s="37">
        <v>0.162334</v>
      </c>
      <c r="E82" s="37">
        <v>0.162334</v>
      </c>
      <c r="F82" s="38">
        <v>0.263132</v>
      </c>
      <c r="G82" s="22">
        <f t="shared" si="5"/>
        <v>0.1983326</v>
      </c>
      <c r="H82" s="23">
        <f t="shared" si="6"/>
        <v>0.140731</v>
      </c>
      <c r="I82" s="23">
        <f t="shared" si="7"/>
        <v>0.263132</v>
      </c>
      <c r="J82" s="24">
        <f t="shared" si="8"/>
        <v>0.05349330277</v>
      </c>
      <c r="K82" s="35"/>
      <c r="L82" s="39" t="s">
        <v>706</v>
      </c>
      <c r="M82" s="40">
        <f>AVERAGE(Average_Latency_Between_Probes[Probe Latency - S0])</f>
        <v>0.10688572</v>
      </c>
      <c r="N82" s="40">
        <f>MIN(Average_Latency_Between_Probes[Probe Latency - S0])</f>
        <v>0.009864</v>
      </c>
      <c r="O82" s="40">
        <f>MAX(Average_Latency_Between_Probes[Probe Latency - S0])</f>
        <v>0.263132</v>
      </c>
      <c r="P82" s="41">
        <f>_xlfn.STDEV.P(Average_Latency_Between_Probes[Probe Latency - S0])</f>
        <v>0.04581088789</v>
      </c>
      <c r="Q82" s="35"/>
      <c r="R82" s="35"/>
      <c r="S82" s="35"/>
      <c r="T82" s="35"/>
      <c r="AG82" s="32">
        <v>0.4558999999999999</v>
      </c>
      <c r="AH82" s="32">
        <f>AVERAGE(Central_Node_Usage[CPU Opensearch Node 2])</f>
        <v>0.293792</v>
      </c>
      <c r="AI82" s="32">
        <v>0.37484600000000023</v>
      </c>
      <c r="AJ82" s="32">
        <f>AVERAGE(Message_Broker_Consums[CPU Logstash (%)])</f>
        <v>0.5585</v>
      </c>
    </row>
    <row r="83" ht="22.5" customHeight="1">
      <c r="A83" s="36">
        <v>18.0</v>
      </c>
      <c r="B83" s="37">
        <v>0.009864</v>
      </c>
      <c r="C83" s="37">
        <v>0.013186</v>
      </c>
      <c r="D83" s="37">
        <v>0.014277</v>
      </c>
      <c r="E83" s="37">
        <v>0.014305</v>
      </c>
      <c r="F83" s="38">
        <v>0.003482</v>
      </c>
      <c r="G83" s="22">
        <f t="shared" si="5"/>
        <v>0.0110228</v>
      </c>
      <c r="H83" s="23">
        <f t="shared" si="6"/>
        <v>0.003482</v>
      </c>
      <c r="I83" s="23">
        <f t="shared" si="7"/>
        <v>0.014305</v>
      </c>
      <c r="J83" s="24">
        <f t="shared" si="8"/>
        <v>0.004104840333</v>
      </c>
      <c r="K83" s="35"/>
      <c r="L83" s="39" t="s">
        <v>713</v>
      </c>
      <c r="M83" s="40">
        <f>AVERAGE(Average_Latency_Between_Probes[Probe Latency - S1])</f>
        <v>0.11323852</v>
      </c>
      <c r="N83" s="40">
        <f>MIN(Average_Latency_Between_Probes[Probe Latency - S1])</f>
        <v>0.013186</v>
      </c>
      <c r="O83" s="40">
        <f>MAX(Average_Latency_Between_Probes[Probe Latency - S1])</f>
        <v>0.261964</v>
      </c>
      <c r="P83" s="41">
        <f>_xlfn.STDEV.P(Average_Latency_Between_Probes[Probe Latency - S1])</f>
        <v>0.0451712755</v>
      </c>
      <c r="Q83" s="35"/>
      <c r="R83" s="35"/>
      <c r="S83" s="35"/>
      <c r="T83" s="35"/>
      <c r="AG83" s="32">
        <v>0.4558999999999999</v>
      </c>
      <c r="AH83" s="32">
        <f>AVERAGE(Central_Node_Usage[CPU Opensearch Node 2])</f>
        <v>0.293792</v>
      </c>
      <c r="AI83" s="32">
        <v>0.37484600000000023</v>
      </c>
      <c r="AJ83" s="32">
        <f>AVERAGE(Message_Broker_Consums[CPU Logstash (%)])</f>
        <v>0.5585</v>
      </c>
    </row>
    <row r="84" ht="22.5" customHeight="1">
      <c r="A84" s="36">
        <v>19.0</v>
      </c>
      <c r="B84" s="37">
        <v>0.093247</v>
      </c>
      <c r="C84" s="37">
        <v>0.093247</v>
      </c>
      <c r="D84" s="37">
        <v>0.093247</v>
      </c>
      <c r="E84" s="37">
        <v>0.093247</v>
      </c>
      <c r="F84" s="38">
        <v>0.093247</v>
      </c>
      <c r="G84" s="22">
        <f t="shared" si="5"/>
        <v>0.093247</v>
      </c>
      <c r="H84" s="23">
        <f t="shared" si="6"/>
        <v>0.093247</v>
      </c>
      <c r="I84" s="23">
        <f t="shared" si="7"/>
        <v>0.093247</v>
      </c>
      <c r="J84" s="24">
        <f t="shared" si="8"/>
        <v>0</v>
      </c>
      <c r="K84" s="35"/>
      <c r="L84" s="39" t="s">
        <v>707</v>
      </c>
      <c r="M84" s="40">
        <f>AVERAGE(Average_Latency_Between_Probes[Probe Latency - S2])</f>
        <v>0.11132216</v>
      </c>
      <c r="N84" s="40">
        <f>MIN(Average_Latency_Between_Probes[Probe Latency - S2])</f>
        <v>0.014277</v>
      </c>
      <c r="O84" s="40">
        <f>MAX(Average_Latency_Between_Probes[Probe Latency - S2])</f>
        <v>0.190503</v>
      </c>
      <c r="P84" s="41">
        <f>_xlfn.STDEV.P(Average_Latency_Between_Probes[Probe Latency - S2])</f>
        <v>0.04415614111</v>
      </c>
      <c r="Q84" s="35"/>
      <c r="R84" s="35"/>
      <c r="S84" s="35"/>
      <c r="T84" s="35"/>
      <c r="AG84" s="32">
        <v>0.4558999999999999</v>
      </c>
      <c r="AH84" s="32">
        <f>AVERAGE(Central_Node_Usage[CPU Opensearch Node 2])</f>
        <v>0.293792</v>
      </c>
      <c r="AI84" s="32">
        <v>0.37484600000000023</v>
      </c>
      <c r="AJ84" s="32">
        <f>AVERAGE(Message_Broker_Consums[CPU Logstash (%)])</f>
        <v>0.5585</v>
      </c>
    </row>
    <row r="85" ht="22.5" customHeight="1">
      <c r="A85" s="36">
        <v>20.0</v>
      </c>
      <c r="B85" s="37">
        <v>0.011754</v>
      </c>
      <c r="C85" s="37">
        <v>0.064656</v>
      </c>
      <c r="D85" s="37">
        <v>0.190503</v>
      </c>
      <c r="E85" s="37">
        <v>0.016988</v>
      </c>
      <c r="F85" s="38">
        <v>0.18483</v>
      </c>
      <c r="G85" s="22">
        <f t="shared" si="5"/>
        <v>0.0937462</v>
      </c>
      <c r="H85" s="23">
        <f t="shared" si="6"/>
        <v>0.011754</v>
      </c>
      <c r="I85" s="23">
        <f t="shared" si="7"/>
        <v>0.190503</v>
      </c>
      <c r="J85" s="24">
        <f t="shared" si="8"/>
        <v>0.07889096125</v>
      </c>
      <c r="K85" s="35"/>
      <c r="L85" s="39" t="s">
        <v>711</v>
      </c>
      <c r="M85" s="40">
        <f>AVERAGE(Average_Latency_Between_Probes[Probe Latency - S3])</f>
        <v>0.11313328</v>
      </c>
      <c r="N85" s="40">
        <f>MIN(Average_Latency_Between_Probes[Probe Latency - S3])</f>
        <v>0.014305</v>
      </c>
      <c r="O85" s="40">
        <f>MAX(Average_Latency_Between_Probes[Probe Latency - S3])</f>
        <v>0.20815</v>
      </c>
      <c r="P85" s="41">
        <f>_xlfn.STDEV.P(Average_Latency_Between_Probes[Probe Latency - S3])</f>
        <v>0.04715068076</v>
      </c>
      <c r="Q85" s="35"/>
      <c r="R85" s="35"/>
      <c r="S85" s="35"/>
      <c r="T85" s="35"/>
      <c r="AE85" s="32">
        <f>AVERAGE(Message_Broker_Consums[CPU Logstash (%)])</f>
        <v>0.5585</v>
      </c>
      <c r="AG85" s="32">
        <v>0.4558999999999999</v>
      </c>
      <c r="AH85" s="32">
        <f>AVERAGE(Central_Node_Usage[CPU Opensearch Node 2])</f>
        <v>0.293792</v>
      </c>
      <c r="AI85" s="32">
        <v>0.37484600000000023</v>
      </c>
      <c r="AJ85" s="32">
        <f>AVERAGE(Message_Broker_Consums[CPU Logstash (%)])</f>
        <v>0.5585</v>
      </c>
    </row>
    <row r="86" ht="22.5" customHeight="1">
      <c r="A86" s="36">
        <v>21.0</v>
      </c>
      <c r="B86" s="37">
        <v>0.091019</v>
      </c>
      <c r="C86" s="37">
        <v>0.091019</v>
      </c>
      <c r="D86" s="37">
        <v>0.091019</v>
      </c>
      <c r="E86" s="37">
        <v>0.091019</v>
      </c>
      <c r="F86" s="38">
        <v>0.091019</v>
      </c>
      <c r="G86" s="22">
        <f t="shared" si="5"/>
        <v>0.091019</v>
      </c>
      <c r="H86" s="23">
        <f t="shared" si="6"/>
        <v>0.091019</v>
      </c>
      <c r="I86" s="23">
        <f t="shared" si="7"/>
        <v>0.091019</v>
      </c>
      <c r="J86" s="24">
        <f t="shared" si="8"/>
        <v>0</v>
      </c>
      <c r="K86" s="35"/>
      <c r="L86" s="39" t="s">
        <v>709</v>
      </c>
      <c r="M86" s="40">
        <f>AVERAGE(Average_Latency_Between_Probes[Probe Latency - S4])</f>
        <v>0.11488792</v>
      </c>
      <c r="N86" s="40">
        <f>MIN(Average_Latency_Between_Probes[Probe Latency - S4])</f>
        <v>0.003482</v>
      </c>
      <c r="O86" s="40">
        <f>MAX(Average_Latency_Between_Probes[Probe Latency - S4])</f>
        <v>0.263132</v>
      </c>
      <c r="P86" s="41">
        <f>_xlfn.STDEV.P(Average_Latency_Between_Probes[Probe Latency - S4])</f>
        <v>0.06274323126</v>
      </c>
      <c r="Q86" s="35"/>
      <c r="R86" s="35"/>
      <c r="S86" s="35"/>
      <c r="T86" s="35"/>
      <c r="AE86" s="32">
        <f>AVERAGE(Message_Broker_Consums[CPU Logstash (%)])</f>
        <v>0.5585</v>
      </c>
      <c r="AG86" s="32">
        <v>0.4558999999999999</v>
      </c>
      <c r="AH86" s="32">
        <f>AVERAGE(Central_Node_Usage[CPU Opensearch Node 2])</f>
        <v>0.293792</v>
      </c>
      <c r="AI86" s="32">
        <v>0.37484600000000023</v>
      </c>
      <c r="AJ86" s="32">
        <f>AVERAGE(Message_Broker_Consums[CPU Logstash (%)])</f>
        <v>0.5585</v>
      </c>
    </row>
    <row r="87" ht="22.5" customHeight="1">
      <c r="A87" s="36">
        <v>22.0</v>
      </c>
      <c r="B87" s="37">
        <v>0.121572</v>
      </c>
      <c r="C87" s="37">
        <v>0.121572</v>
      </c>
      <c r="D87" s="37">
        <v>0.109136</v>
      </c>
      <c r="E87" s="37">
        <v>0.121572</v>
      </c>
      <c r="F87" s="38">
        <v>0.191311</v>
      </c>
      <c r="G87" s="22">
        <f t="shared" si="5"/>
        <v>0.1330326</v>
      </c>
      <c r="H87" s="23">
        <f t="shared" si="6"/>
        <v>0.109136</v>
      </c>
      <c r="I87" s="23">
        <f t="shared" si="7"/>
        <v>0.191311</v>
      </c>
      <c r="J87" s="24">
        <f t="shared" si="8"/>
        <v>0.0295345745</v>
      </c>
      <c r="K87" s="35"/>
      <c r="P87" s="35"/>
      <c r="Q87" s="35"/>
      <c r="R87" s="35"/>
      <c r="S87" s="35"/>
      <c r="T87" s="35"/>
      <c r="AE87" s="32">
        <f>AVERAGE(Message_Broker_Consums[CPU Logstash (%)])</f>
        <v>0.5585</v>
      </c>
      <c r="AG87" s="32">
        <v>0.4558999999999999</v>
      </c>
      <c r="AH87" s="32">
        <f>AVERAGE(Central_Node_Usage[CPU Opensearch Node 2])</f>
        <v>0.293792</v>
      </c>
      <c r="AI87" s="32">
        <v>0.37484600000000023</v>
      </c>
      <c r="AJ87" s="32">
        <f>AVERAGE(Message_Broker_Consums[CPU Logstash (%)])</f>
        <v>0.5585</v>
      </c>
    </row>
    <row r="88" ht="22.5" customHeight="1">
      <c r="A88" s="36">
        <v>23.0</v>
      </c>
      <c r="B88" s="37">
        <v>0.114177</v>
      </c>
      <c r="C88" s="37">
        <v>0.114177</v>
      </c>
      <c r="D88" s="37">
        <v>0.114177</v>
      </c>
      <c r="E88" s="37">
        <v>0.114177</v>
      </c>
      <c r="F88" s="38">
        <v>0.114177</v>
      </c>
      <c r="G88" s="22">
        <f t="shared" si="5"/>
        <v>0.114177</v>
      </c>
      <c r="H88" s="23">
        <f t="shared" si="6"/>
        <v>0.114177</v>
      </c>
      <c r="I88" s="23">
        <f t="shared" si="7"/>
        <v>0.114177</v>
      </c>
      <c r="J88" s="24">
        <f t="shared" si="8"/>
        <v>0</v>
      </c>
      <c r="K88" s="35"/>
      <c r="P88" s="35"/>
      <c r="Q88" s="35"/>
      <c r="R88" s="35"/>
      <c r="S88" s="35"/>
      <c r="T88" s="35"/>
      <c r="AE88" s="32">
        <f>AVERAGE(Message_Broker_Consums[CPU Logstash (%)])</f>
        <v>0.5585</v>
      </c>
      <c r="AG88" s="32">
        <v>0.4558999999999999</v>
      </c>
      <c r="AH88" s="32">
        <f>AVERAGE(Central_Node_Usage[CPU Opensearch Node 2])</f>
        <v>0.293792</v>
      </c>
      <c r="AI88" s="32">
        <v>0.37484600000000023</v>
      </c>
      <c r="AJ88" s="32">
        <f>AVERAGE(Message_Broker_Consums[CPU Logstash (%)])</f>
        <v>0.5585</v>
      </c>
    </row>
    <row r="89" ht="22.5" customHeight="1">
      <c r="A89" s="36">
        <v>24.0</v>
      </c>
      <c r="B89" s="37">
        <v>0.102529</v>
      </c>
      <c r="C89" s="37">
        <v>0.175411</v>
      </c>
      <c r="D89" s="37">
        <v>0.185802</v>
      </c>
      <c r="E89" s="37">
        <v>0.185802</v>
      </c>
      <c r="F89" s="38">
        <v>0.175411</v>
      </c>
      <c r="G89" s="22">
        <f t="shared" si="5"/>
        <v>0.164991</v>
      </c>
      <c r="H89" s="23">
        <f t="shared" si="6"/>
        <v>0.102529</v>
      </c>
      <c r="I89" s="23">
        <f t="shared" si="7"/>
        <v>0.185802</v>
      </c>
      <c r="J89" s="24">
        <f t="shared" si="8"/>
        <v>0.03157483075</v>
      </c>
      <c r="K89" s="35"/>
      <c r="P89" s="35"/>
      <c r="Q89" s="35"/>
      <c r="R89" s="35"/>
      <c r="S89" s="35"/>
      <c r="T89" s="35"/>
      <c r="AE89" s="32">
        <f>AVERAGE(Message_Broker_Consums[CPU Logstash (%)])</f>
        <v>0.5585</v>
      </c>
    </row>
    <row r="90" ht="22.5" customHeight="1">
      <c r="A90" s="36">
        <v>25.0</v>
      </c>
      <c r="B90" s="37">
        <v>0.083432</v>
      </c>
      <c r="C90" s="37">
        <v>0.083432</v>
      </c>
      <c r="D90" s="37">
        <v>0.083432</v>
      </c>
      <c r="E90" s="37">
        <v>0.083432</v>
      </c>
      <c r="F90" s="38">
        <v>0.083432</v>
      </c>
      <c r="G90" s="22">
        <f t="shared" si="5"/>
        <v>0.083432</v>
      </c>
      <c r="H90" s="23">
        <f t="shared" si="6"/>
        <v>0.083432</v>
      </c>
      <c r="I90" s="23">
        <f t="shared" si="7"/>
        <v>0.083432</v>
      </c>
      <c r="J90" s="24">
        <f t="shared" si="8"/>
        <v>0</v>
      </c>
      <c r="K90" s="35"/>
      <c r="P90" s="35"/>
      <c r="Q90" s="35"/>
      <c r="R90" s="35"/>
      <c r="S90" s="35"/>
      <c r="T90" s="35"/>
      <c r="AE90" s="32">
        <f>AVERAGE(Message_Broker_Consums[CPU Logstash (%)])</f>
        <v>0.5585</v>
      </c>
    </row>
    <row r="91" ht="27.0" customHeight="1">
      <c r="C91" s="35"/>
      <c r="D91" s="35"/>
      <c r="E91" s="35"/>
      <c r="F91" s="35"/>
      <c r="G91" s="35"/>
      <c r="H91" s="35"/>
      <c r="I91" s="35"/>
      <c r="J91" s="35"/>
      <c r="K91" s="44"/>
      <c r="M91" s="35"/>
      <c r="N91" s="35"/>
      <c r="O91" s="44"/>
      <c r="P91" s="35"/>
      <c r="Q91" s="35"/>
      <c r="AE91" s="32">
        <f>AVERAGE(Message_Broker_Consums[CPU Logstash (%)])</f>
        <v>0.5585</v>
      </c>
    </row>
    <row r="92">
      <c r="C92" s="35"/>
      <c r="D92" s="35"/>
      <c r="E92" s="35"/>
      <c r="F92" s="35"/>
      <c r="G92" s="35"/>
      <c r="H92" s="35"/>
      <c r="I92" s="35"/>
      <c r="J92" s="35"/>
      <c r="K92" s="31"/>
      <c r="O92" s="45"/>
      <c r="P92" s="46"/>
      <c r="Q92" s="46"/>
      <c r="R92" s="46"/>
      <c r="S92" s="46"/>
      <c r="T92" s="46"/>
      <c r="AE92" s="32">
        <f>AVERAGE(Message_Broker_Consums[CPU Logstash (%)])</f>
        <v>0.5585</v>
      </c>
    </row>
    <row r="93">
      <c r="I93" s="16"/>
      <c r="J93" s="16"/>
      <c r="M93" s="35"/>
      <c r="O93" s="45"/>
      <c r="P93" s="46"/>
      <c r="Q93" s="46"/>
      <c r="R93" s="46"/>
      <c r="S93" s="46"/>
      <c r="T93" s="46"/>
      <c r="AE93" s="32">
        <f>AVERAGE(Message_Broker_Consums[CPU Logstash (%)])</f>
        <v>0.5585</v>
      </c>
    </row>
    <row r="94" ht="22.5" customHeight="1">
      <c r="A94" s="18" t="s">
        <v>1</v>
      </c>
      <c r="B94" s="18" t="s">
        <v>717</v>
      </c>
      <c r="C94" s="19" t="s">
        <v>32</v>
      </c>
      <c r="D94" s="19" t="s">
        <v>33</v>
      </c>
      <c r="E94" s="19" t="s">
        <v>34</v>
      </c>
      <c r="F94" s="19" t="s">
        <v>35</v>
      </c>
      <c r="G94" s="20" t="s">
        <v>514</v>
      </c>
      <c r="H94" s="20" t="s">
        <v>515</v>
      </c>
      <c r="I94" s="20" t="s">
        <v>516</v>
      </c>
      <c r="J94" s="20" t="s">
        <v>517</v>
      </c>
      <c r="K94" s="35"/>
      <c r="L94" s="35"/>
      <c r="M94" s="35"/>
      <c r="O94" s="45"/>
      <c r="P94" s="46"/>
      <c r="Q94" s="46"/>
      <c r="R94" s="46"/>
      <c r="S94" s="46"/>
      <c r="T94" s="46"/>
      <c r="AE94" s="32">
        <f>AVERAGE(Message_Broker_Consums[CPU Logstash (%)])</f>
        <v>0.5585</v>
      </c>
    </row>
    <row r="95" ht="22.5" customHeight="1">
      <c r="A95" s="36">
        <v>1.0</v>
      </c>
      <c r="B95" s="37">
        <v>1.048298</v>
      </c>
      <c r="C95" s="37">
        <v>0.956918</v>
      </c>
      <c r="D95" s="37">
        <v>0.957443</v>
      </c>
      <c r="E95" s="37">
        <v>0.957159</v>
      </c>
      <c r="F95" s="38">
        <v>1.00299</v>
      </c>
      <c r="G95" s="22">
        <f t="shared" ref="G95:G119" si="9">AVERAGE(B95:F95)</f>
        <v>0.9845616</v>
      </c>
      <c r="H95" s="21">
        <f t="shared" ref="H95:H119" si="10">MIN(B95:F95)</f>
        <v>0.956918</v>
      </c>
      <c r="I95" s="23">
        <f t="shared" ref="I95:I119" si="11">MAX(B95:F95)</f>
        <v>1.048298</v>
      </c>
      <c r="J95" s="24">
        <f t="shared" ref="J95:J119" si="12">_xlfn.STDEV.P(B95:F95)</f>
        <v>0.03647581167</v>
      </c>
      <c r="K95" s="35"/>
      <c r="L95" s="35"/>
      <c r="M95" s="35"/>
      <c r="O95" s="45"/>
      <c r="P95" s="46"/>
      <c r="Q95" s="46"/>
      <c r="R95" s="46"/>
      <c r="S95" s="46"/>
      <c r="T95" s="46"/>
      <c r="AE95" s="32">
        <f>AVERAGE(Message_Broker_Consums[CPU Logstash (%)])</f>
        <v>0.5585</v>
      </c>
    </row>
    <row r="96" ht="22.5" customHeight="1">
      <c r="A96" s="36">
        <v>2.0</v>
      </c>
      <c r="B96" s="37">
        <v>11.200954</v>
      </c>
      <c r="C96" s="37">
        <v>11.685771</v>
      </c>
      <c r="D96" s="37">
        <v>11.678999</v>
      </c>
      <c r="E96" s="37">
        <v>10.717448</v>
      </c>
      <c r="F96" s="38">
        <v>11.165643</v>
      </c>
      <c r="G96" s="22">
        <f t="shared" si="9"/>
        <v>11.289763</v>
      </c>
      <c r="H96" s="21">
        <f t="shared" si="10"/>
        <v>10.717448</v>
      </c>
      <c r="I96" s="23">
        <f t="shared" si="11"/>
        <v>11.685771</v>
      </c>
      <c r="J96" s="24">
        <f t="shared" si="12"/>
        <v>0.363087943</v>
      </c>
      <c r="AE96" s="32">
        <f>AVERAGE(Message_Broker_Consums[CPU Logstash (%)])</f>
        <v>0.5585</v>
      </c>
    </row>
    <row r="97" ht="22.5" customHeight="1">
      <c r="A97" s="36">
        <v>3.0</v>
      </c>
      <c r="B97" s="37">
        <v>101.440475</v>
      </c>
      <c r="C97" s="37">
        <v>101.446698</v>
      </c>
      <c r="D97" s="37">
        <v>101.43118</v>
      </c>
      <c r="E97" s="37">
        <v>101.436305</v>
      </c>
      <c r="F97" s="38">
        <v>101.268445</v>
      </c>
      <c r="G97" s="22">
        <f t="shared" si="9"/>
        <v>101.4046206</v>
      </c>
      <c r="H97" s="21">
        <f t="shared" si="10"/>
        <v>101.268445</v>
      </c>
      <c r="I97" s="23">
        <f t="shared" si="11"/>
        <v>101.446698</v>
      </c>
      <c r="J97" s="24">
        <f t="shared" si="12"/>
        <v>0.06827758425</v>
      </c>
      <c r="AE97" s="32">
        <f>AVERAGE(Message_Broker_Consums[CPU Logstash (%)])</f>
        <v>0.5585</v>
      </c>
    </row>
    <row r="98" ht="22.5" customHeight="1">
      <c r="A98" s="36">
        <v>4.0</v>
      </c>
      <c r="B98" s="37">
        <v>119.197062</v>
      </c>
      <c r="C98" s="37">
        <v>118.780486</v>
      </c>
      <c r="D98" s="37">
        <v>119.558376</v>
      </c>
      <c r="E98" s="37">
        <v>119.42547</v>
      </c>
      <c r="F98" s="38">
        <v>118.787458</v>
      </c>
      <c r="G98" s="22">
        <f t="shared" si="9"/>
        <v>119.1497704</v>
      </c>
      <c r="H98" s="23">
        <f t="shared" si="10"/>
        <v>118.780486</v>
      </c>
      <c r="I98" s="23">
        <f t="shared" si="11"/>
        <v>119.558376</v>
      </c>
      <c r="J98" s="24">
        <f t="shared" si="12"/>
        <v>0.3202644359</v>
      </c>
      <c r="AE98" s="32">
        <f>AVERAGE(Message_Broker_Consums[CPU Logstash (%)])</f>
        <v>0.5585</v>
      </c>
    </row>
    <row r="99" ht="22.5" customHeight="1">
      <c r="A99" s="36">
        <v>5.0</v>
      </c>
      <c r="B99" s="37">
        <v>119.881512</v>
      </c>
      <c r="C99" s="37">
        <v>119.750828</v>
      </c>
      <c r="D99" s="37">
        <v>119.566827</v>
      </c>
      <c r="E99" s="37">
        <v>119.571388</v>
      </c>
      <c r="F99" s="38">
        <v>120.01147</v>
      </c>
      <c r="G99" s="22">
        <f t="shared" si="9"/>
        <v>119.756405</v>
      </c>
      <c r="H99" s="23">
        <f t="shared" si="10"/>
        <v>119.566827</v>
      </c>
      <c r="I99" s="23">
        <f t="shared" si="11"/>
        <v>120.01147</v>
      </c>
      <c r="J99" s="24">
        <f t="shared" si="12"/>
        <v>0.1737308994</v>
      </c>
      <c r="AE99" s="32">
        <f>AVERAGE(Message_Broker_Consums[CPU Logstash (%)])</f>
        <v>0.5585</v>
      </c>
    </row>
    <row r="100" ht="22.5" customHeight="1">
      <c r="A100" s="36">
        <v>6.0</v>
      </c>
      <c r="B100" s="37">
        <v>282.298867</v>
      </c>
      <c r="C100" s="37">
        <v>282.254767</v>
      </c>
      <c r="D100" s="37">
        <v>282.430758</v>
      </c>
      <c r="E100" s="37">
        <v>282.298474</v>
      </c>
      <c r="F100" s="38">
        <v>282.2621</v>
      </c>
      <c r="G100" s="22">
        <f t="shared" si="9"/>
        <v>282.3089932</v>
      </c>
      <c r="H100" s="23">
        <f t="shared" si="10"/>
        <v>282.254767</v>
      </c>
      <c r="I100" s="23">
        <f t="shared" si="11"/>
        <v>282.430758</v>
      </c>
      <c r="J100" s="24">
        <f t="shared" si="12"/>
        <v>0.06352843928</v>
      </c>
      <c r="AE100" s="32">
        <f>AVERAGE(Message_Broker_Consums[CPU Logstash (%)])</f>
        <v>0.5585</v>
      </c>
    </row>
    <row r="101" ht="22.5" customHeight="1">
      <c r="A101" s="36">
        <v>7.0</v>
      </c>
      <c r="B101" s="37">
        <v>399.972699</v>
      </c>
      <c r="C101" s="37">
        <v>400.529134</v>
      </c>
      <c r="D101" s="37">
        <v>399.086043</v>
      </c>
      <c r="E101" s="37">
        <v>398.895023</v>
      </c>
      <c r="F101" s="38">
        <v>400.531297</v>
      </c>
      <c r="G101" s="22">
        <f t="shared" si="9"/>
        <v>399.8028392</v>
      </c>
      <c r="H101" s="23">
        <f t="shared" si="10"/>
        <v>398.895023</v>
      </c>
      <c r="I101" s="23">
        <f t="shared" si="11"/>
        <v>400.531297</v>
      </c>
      <c r="J101" s="24">
        <f t="shared" si="12"/>
        <v>0.6964099798</v>
      </c>
      <c r="AE101" s="32">
        <f>AVERAGE(Message_Broker_Consums[CPU Logstash (%)])</f>
        <v>0.5585</v>
      </c>
    </row>
    <row r="102" ht="22.5" customHeight="1">
      <c r="A102" s="36">
        <v>8.0</v>
      </c>
      <c r="B102" s="37">
        <v>560.593081</v>
      </c>
      <c r="C102" s="37">
        <v>560.590593</v>
      </c>
      <c r="D102" s="37">
        <v>560.508104</v>
      </c>
      <c r="E102" s="37">
        <v>560.57716</v>
      </c>
      <c r="F102" s="38">
        <v>560.606897</v>
      </c>
      <c r="G102" s="22">
        <f t="shared" si="9"/>
        <v>560.575167</v>
      </c>
      <c r="H102" s="23">
        <f t="shared" si="10"/>
        <v>560.508104</v>
      </c>
      <c r="I102" s="23">
        <f t="shared" si="11"/>
        <v>560.606897</v>
      </c>
      <c r="J102" s="24">
        <f t="shared" si="12"/>
        <v>0.03483413208</v>
      </c>
      <c r="AE102" s="32">
        <f>AVERAGE(Message_Broker_Consums[CPU Logstash (%)])</f>
        <v>0.5585</v>
      </c>
    </row>
    <row r="103" ht="22.5" customHeight="1">
      <c r="A103" s="36">
        <v>9.0</v>
      </c>
      <c r="B103" s="37">
        <v>5.821753</v>
      </c>
      <c r="C103" s="37">
        <v>4.85219</v>
      </c>
      <c r="D103" s="37">
        <v>5.036425</v>
      </c>
      <c r="E103" s="37">
        <v>5.715752</v>
      </c>
      <c r="F103" s="38">
        <v>4.852161</v>
      </c>
      <c r="G103" s="22">
        <f t="shared" si="9"/>
        <v>5.2556562</v>
      </c>
      <c r="H103" s="23">
        <f t="shared" si="10"/>
        <v>4.852161</v>
      </c>
      <c r="I103" s="23">
        <f t="shared" si="11"/>
        <v>5.821753</v>
      </c>
      <c r="J103" s="24">
        <f t="shared" si="12"/>
        <v>0.4256311554</v>
      </c>
      <c r="AE103" s="32">
        <f>AVERAGE(Message_Broker_Consums[CPU Logstash (%)])</f>
        <v>0.5585</v>
      </c>
    </row>
    <row r="104" ht="22.5" customHeight="1">
      <c r="A104" s="36">
        <v>10.0</v>
      </c>
      <c r="B104" s="37">
        <v>13.344137</v>
      </c>
      <c r="C104" s="37">
        <v>13.6301</v>
      </c>
      <c r="D104" s="37">
        <v>13.168518</v>
      </c>
      <c r="E104" s="37">
        <v>13.415115</v>
      </c>
      <c r="F104" s="38">
        <v>12.751737</v>
      </c>
      <c r="G104" s="22">
        <f t="shared" si="9"/>
        <v>13.2619214</v>
      </c>
      <c r="H104" s="23">
        <f t="shared" si="10"/>
        <v>12.751737</v>
      </c>
      <c r="I104" s="23">
        <f t="shared" si="11"/>
        <v>13.6301</v>
      </c>
      <c r="J104" s="24">
        <f t="shared" si="12"/>
        <v>0.294888278</v>
      </c>
      <c r="AE104" s="32">
        <f>AVERAGE(Message_Broker_Consums[CPU Logstash (%)])</f>
        <v>0.5585</v>
      </c>
    </row>
    <row r="105" ht="22.5" customHeight="1">
      <c r="A105" s="36">
        <v>11.0</v>
      </c>
      <c r="B105" s="37">
        <v>13.49824</v>
      </c>
      <c r="C105" s="37">
        <v>13.025609</v>
      </c>
      <c r="D105" s="37">
        <v>13.049275</v>
      </c>
      <c r="E105" s="37">
        <v>13.489195</v>
      </c>
      <c r="F105" s="38">
        <v>13.026048</v>
      </c>
      <c r="G105" s="22">
        <f t="shared" si="9"/>
        <v>13.2176734</v>
      </c>
      <c r="H105" s="23">
        <f t="shared" si="10"/>
        <v>13.025609</v>
      </c>
      <c r="I105" s="23">
        <f t="shared" si="11"/>
        <v>13.49824</v>
      </c>
      <c r="J105" s="24">
        <f t="shared" si="12"/>
        <v>0.2255697875</v>
      </c>
      <c r="AE105" s="32">
        <f>AVERAGE(Message_Broker_Consums[CPU Logstash (%)])</f>
        <v>0.5585</v>
      </c>
    </row>
    <row r="106" ht="22.5" customHeight="1">
      <c r="A106" s="36">
        <v>12.0</v>
      </c>
      <c r="B106" s="37">
        <v>12.310494</v>
      </c>
      <c r="C106" s="37">
        <v>11.686433</v>
      </c>
      <c r="D106" s="37">
        <v>12.088142</v>
      </c>
      <c r="E106" s="37">
        <v>12.068221</v>
      </c>
      <c r="F106" s="38">
        <v>11.749801</v>
      </c>
      <c r="G106" s="22">
        <f t="shared" si="9"/>
        <v>11.9806182</v>
      </c>
      <c r="H106" s="23">
        <f t="shared" si="10"/>
        <v>11.686433</v>
      </c>
      <c r="I106" s="23">
        <f t="shared" si="11"/>
        <v>12.310494</v>
      </c>
      <c r="J106" s="24">
        <f t="shared" si="12"/>
        <v>0.2314628148</v>
      </c>
      <c r="AE106" s="32">
        <f>AVERAGE(Message_Broker_Consums[CPU Logstash (%)])</f>
        <v>0.5585</v>
      </c>
    </row>
    <row r="107" ht="22.5" customHeight="1">
      <c r="A107" s="36">
        <v>13.0</v>
      </c>
      <c r="B107" s="37">
        <v>208.287199</v>
      </c>
      <c r="C107" s="37">
        <v>208.407887</v>
      </c>
      <c r="D107" s="37">
        <v>208.631184</v>
      </c>
      <c r="E107" s="37">
        <v>209.567122</v>
      </c>
      <c r="F107" s="38">
        <v>208.281858</v>
      </c>
      <c r="G107" s="22">
        <f t="shared" si="9"/>
        <v>208.63505</v>
      </c>
      <c r="H107" s="23">
        <f t="shared" si="10"/>
        <v>208.281858</v>
      </c>
      <c r="I107" s="23">
        <f t="shared" si="11"/>
        <v>209.567122</v>
      </c>
      <c r="J107" s="24">
        <f t="shared" si="12"/>
        <v>0.4829329342</v>
      </c>
      <c r="AE107" s="32">
        <f>AVERAGE(Message_Broker_Consums[CPU Logstash (%)])</f>
        <v>0.5585</v>
      </c>
    </row>
    <row r="108" ht="22.5" customHeight="1">
      <c r="A108" s="36">
        <v>14.0</v>
      </c>
      <c r="B108" s="37">
        <v>218.254204</v>
      </c>
      <c r="C108" s="37">
        <v>218.110911</v>
      </c>
      <c r="D108" s="37">
        <v>218.026134</v>
      </c>
      <c r="E108" s="37">
        <v>218.255105</v>
      </c>
      <c r="F108" s="38">
        <v>217.327262</v>
      </c>
      <c r="G108" s="22">
        <f t="shared" si="9"/>
        <v>217.9947232</v>
      </c>
      <c r="H108" s="23">
        <f t="shared" si="10"/>
        <v>217.327262</v>
      </c>
      <c r="I108" s="23">
        <f t="shared" si="11"/>
        <v>218.255105</v>
      </c>
      <c r="J108" s="24">
        <f t="shared" si="12"/>
        <v>0.3449984534</v>
      </c>
      <c r="AE108" s="32">
        <f>AVERAGE(Message_Broker_Consums[CPU Logstash (%)])</f>
        <v>0.5585</v>
      </c>
    </row>
    <row r="109" ht="22.5" customHeight="1">
      <c r="A109" s="36">
        <v>15.0</v>
      </c>
      <c r="B109" s="37">
        <v>326.262311</v>
      </c>
      <c r="C109" s="37">
        <v>370.386349</v>
      </c>
      <c r="D109" s="37">
        <v>358.192201</v>
      </c>
      <c r="E109" s="37">
        <v>367.02473</v>
      </c>
      <c r="F109" s="38">
        <v>347.130829</v>
      </c>
      <c r="G109" s="22">
        <f t="shared" si="9"/>
        <v>353.799284</v>
      </c>
      <c r="H109" s="23">
        <f t="shared" si="10"/>
        <v>326.262311</v>
      </c>
      <c r="I109" s="23">
        <f t="shared" si="11"/>
        <v>370.386349</v>
      </c>
      <c r="J109" s="24">
        <f t="shared" si="12"/>
        <v>15.95051122</v>
      </c>
    </row>
    <row r="110" ht="22.5" customHeight="1">
      <c r="A110" s="36">
        <v>16.0</v>
      </c>
      <c r="B110" s="37">
        <v>338.28972</v>
      </c>
      <c r="C110" s="37">
        <v>384.549694</v>
      </c>
      <c r="D110" s="37">
        <v>350.076809</v>
      </c>
      <c r="E110" s="37">
        <v>377.403772</v>
      </c>
      <c r="F110" s="38">
        <v>359.148335</v>
      </c>
      <c r="G110" s="22">
        <f t="shared" si="9"/>
        <v>361.893666</v>
      </c>
      <c r="H110" s="23">
        <f t="shared" si="10"/>
        <v>338.28972</v>
      </c>
      <c r="I110" s="23">
        <f t="shared" si="11"/>
        <v>384.549694</v>
      </c>
      <c r="J110" s="24">
        <f t="shared" si="12"/>
        <v>17.07735466</v>
      </c>
    </row>
    <row r="111" ht="22.5" customHeight="1">
      <c r="A111" s="36">
        <v>17.0</v>
      </c>
      <c r="B111" s="37">
        <v>348.954947</v>
      </c>
      <c r="C111" s="37">
        <v>384.38706</v>
      </c>
      <c r="D111" s="37">
        <v>337.356897</v>
      </c>
      <c r="E111" s="37">
        <v>369.429827</v>
      </c>
      <c r="F111" s="38">
        <v>356.62294</v>
      </c>
      <c r="G111" s="22">
        <f t="shared" si="9"/>
        <v>359.3503342</v>
      </c>
      <c r="H111" s="23">
        <f t="shared" si="10"/>
        <v>337.356897</v>
      </c>
      <c r="I111" s="23">
        <f t="shared" si="11"/>
        <v>384.38706</v>
      </c>
      <c r="J111" s="24">
        <f t="shared" si="12"/>
        <v>16.29507808</v>
      </c>
    </row>
    <row r="112" ht="22.5" customHeight="1">
      <c r="A112" s="36">
        <v>18.0</v>
      </c>
      <c r="B112" s="37">
        <v>454.776299</v>
      </c>
      <c r="C112" s="37">
        <v>454.773007</v>
      </c>
      <c r="D112" s="37">
        <v>454.771871</v>
      </c>
      <c r="E112" s="37">
        <v>454.772009</v>
      </c>
      <c r="F112" s="38">
        <v>454.782696</v>
      </c>
      <c r="G112" s="22">
        <f t="shared" si="9"/>
        <v>454.7751764</v>
      </c>
      <c r="H112" s="23">
        <f t="shared" si="10"/>
        <v>454.771871</v>
      </c>
      <c r="I112" s="23">
        <f t="shared" si="11"/>
        <v>454.782696</v>
      </c>
      <c r="J112" s="24">
        <f t="shared" si="12"/>
        <v>0.004085804773</v>
      </c>
    </row>
    <row r="113" ht="22.5" customHeight="1">
      <c r="A113" s="36">
        <v>19.0</v>
      </c>
      <c r="B113" s="37">
        <v>457.442885</v>
      </c>
      <c r="C113" s="37">
        <v>457.16225</v>
      </c>
      <c r="D113" s="37">
        <v>457.392309</v>
      </c>
      <c r="E113" s="37">
        <v>457.391859</v>
      </c>
      <c r="F113" s="38">
        <v>456.984249</v>
      </c>
      <c r="G113" s="22">
        <f t="shared" si="9"/>
        <v>457.2747104</v>
      </c>
      <c r="H113" s="23">
        <f t="shared" si="10"/>
        <v>456.984249</v>
      </c>
      <c r="I113" s="23">
        <f t="shared" si="11"/>
        <v>457.442885</v>
      </c>
      <c r="J113" s="24">
        <f t="shared" si="12"/>
        <v>0.1748434087</v>
      </c>
    </row>
    <row r="114" ht="22.5" customHeight="1">
      <c r="A114" s="36">
        <v>20.0</v>
      </c>
      <c r="B114" s="37">
        <v>454.509358</v>
      </c>
      <c r="C114" s="37">
        <v>454.668637</v>
      </c>
      <c r="D114" s="37">
        <v>454.768085</v>
      </c>
      <c r="E114" s="37">
        <v>454.501008</v>
      </c>
      <c r="F114" s="38">
        <v>454.793075</v>
      </c>
      <c r="G114" s="22">
        <f t="shared" si="9"/>
        <v>454.6480326</v>
      </c>
      <c r="H114" s="23">
        <f t="shared" si="10"/>
        <v>454.501008</v>
      </c>
      <c r="I114" s="23">
        <f t="shared" si="11"/>
        <v>454.793075</v>
      </c>
      <c r="J114" s="24">
        <f t="shared" si="12"/>
        <v>0.1238719464</v>
      </c>
    </row>
    <row r="115" ht="22.5" customHeight="1">
      <c r="A115" s="36">
        <v>21.0</v>
      </c>
      <c r="B115" s="37">
        <v>606.641468</v>
      </c>
      <c r="C115" s="37">
        <v>606.356651</v>
      </c>
      <c r="D115" s="37">
        <v>606.353013</v>
      </c>
      <c r="E115" s="37">
        <v>606.233686</v>
      </c>
      <c r="F115" s="38">
        <v>606.353652</v>
      </c>
      <c r="G115" s="22">
        <f t="shared" si="9"/>
        <v>606.387694</v>
      </c>
      <c r="H115" s="23">
        <f t="shared" si="10"/>
        <v>606.233686</v>
      </c>
      <c r="I115" s="23">
        <f t="shared" si="11"/>
        <v>606.641468</v>
      </c>
      <c r="J115" s="24">
        <f t="shared" si="12"/>
        <v>0.1352368326</v>
      </c>
    </row>
    <row r="116" ht="22.5" customHeight="1">
      <c r="A116" s="36">
        <v>22.0</v>
      </c>
      <c r="B116" s="37">
        <v>610.821599</v>
      </c>
      <c r="C116" s="37">
        <v>610.550136</v>
      </c>
      <c r="D116" s="37">
        <v>611.374166</v>
      </c>
      <c r="E116" s="37">
        <v>610.921475</v>
      </c>
      <c r="F116" s="38">
        <v>611.224448</v>
      </c>
      <c r="G116" s="22">
        <f t="shared" si="9"/>
        <v>610.9783648</v>
      </c>
      <c r="H116" s="23">
        <f t="shared" si="10"/>
        <v>610.550136</v>
      </c>
      <c r="I116" s="23">
        <f t="shared" si="11"/>
        <v>611.374166</v>
      </c>
      <c r="J116" s="24">
        <f t="shared" si="12"/>
        <v>0.2927139907</v>
      </c>
    </row>
    <row r="117" ht="22.5" customHeight="1">
      <c r="A117" s="36">
        <v>23.0</v>
      </c>
      <c r="B117" s="37">
        <v>828.312026</v>
      </c>
      <c r="C117" s="37">
        <v>827.690286</v>
      </c>
      <c r="D117" s="37">
        <v>827.697302</v>
      </c>
      <c r="E117" s="37">
        <v>828.311004</v>
      </c>
      <c r="F117" s="38">
        <v>827.698241</v>
      </c>
      <c r="G117" s="22">
        <f t="shared" si="9"/>
        <v>827.9417718</v>
      </c>
      <c r="H117" s="23">
        <f t="shared" si="10"/>
        <v>827.690286</v>
      </c>
      <c r="I117" s="23">
        <f t="shared" si="11"/>
        <v>828.312026</v>
      </c>
      <c r="J117" s="24">
        <f t="shared" si="12"/>
        <v>0.301906751</v>
      </c>
    </row>
    <row r="118" ht="22.5" customHeight="1">
      <c r="A118" s="36">
        <v>24.0</v>
      </c>
      <c r="B118" s="37">
        <v>836.961236</v>
      </c>
      <c r="C118" s="37">
        <v>836.231622</v>
      </c>
      <c r="D118" s="37">
        <v>836.225211</v>
      </c>
      <c r="E118" s="37">
        <v>837.212745</v>
      </c>
      <c r="F118" s="38">
        <v>837.479505</v>
      </c>
      <c r="G118" s="22">
        <f t="shared" si="9"/>
        <v>836.8220638</v>
      </c>
      <c r="H118" s="23">
        <f t="shared" si="10"/>
        <v>836.225211</v>
      </c>
      <c r="I118" s="23">
        <f t="shared" si="11"/>
        <v>837.479505</v>
      </c>
      <c r="J118" s="24">
        <f t="shared" si="12"/>
        <v>0.5116804504</v>
      </c>
    </row>
    <row r="119" ht="22.5" customHeight="1">
      <c r="A119" s="36">
        <v>25.0</v>
      </c>
      <c r="B119" s="37">
        <v>1018.75201</v>
      </c>
      <c r="C119" s="37">
        <v>1018.745488</v>
      </c>
      <c r="D119" s="37">
        <v>1018.502217</v>
      </c>
      <c r="E119" s="37">
        <v>1018.908422</v>
      </c>
      <c r="F119" s="38">
        <v>1018.902904</v>
      </c>
      <c r="G119" s="22">
        <f t="shared" si="9"/>
        <v>1018.762208</v>
      </c>
      <c r="H119" s="23">
        <f t="shared" si="10"/>
        <v>1018.502217</v>
      </c>
      <c r="I119" s="23">
        <f t="shared" si="11"/>
        <v>1018.908422</v>
      </c>
      <c r="J119" s="24">
        <f t="shared" si="12"/>
        <v>0.1477516673</v>
      </c>
    </row>
  </sheetData>
  <conditionalFormatting sqref="M66:M70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N66:N70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O66:O70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P66:P70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M74:M78">
    <cfRule type="colorScale" priority="5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N74:N78">
    <cfRule type="colorScale" priority="6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O74:O78">
    <cfRule type="colorScale" priority="7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P74:P78">
    <cfRule type="colorScale" priority="8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M82:M86">
    <cfRule type="colorScale" priority="9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N82:N86">
    <cfRule type="colorScale" priority="10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O82:O86">
    <cfRule type="colorScale" priority="1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P82:P86">
    <cfRule type="colorScale" priority="1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ataValidations>
    <dataValidation type="list" allowBlank="1" showDropDown="1" showErrorMessage="1" sqref="D2:D26">
      <formula1>"smallFlows.pcap,bigFlows.pcap"</formula1>
    </dataValidation>
    <dataValidation type="custom" allowBlank="1" showDropDown="1" sqref="B2:C26 B35:I59 AD36:AD60 AF36:AF60 Y36:AA60 M66:O70 M74:O78 M82:O86 B66:I90 B95:I119">
      <formula1>AND(ISNUMBER(B2),(NOT(OR(NOT(ISERROR(DATEVALUE(B2))), AND(ISNUMBER(B2), LEFT(CELL("format", B2))="D")))))</formula1>
    </dataValidation>
    <dataValidation allowBlank="1" showDropDown="1" sqref="V3:AC27 AE3:AG27"/>
  </dataValidations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